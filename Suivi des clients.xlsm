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esktop\CV &amp; Certification &amp; Projects\Excel projects\Aymen Excel\"/>
    </mc:Choice>
  </mc:AlternateContent>
  <xr:revisionPtr revIDLastSave="0" documentId="13_ncr:1_{1C880CE3-BD0A-473A-8E58-A5936C841A7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réance" sheetId="1" r:id="rId1"/>
    <sheet name="Reglement" sheetId="3" r:id="rId2"/>
    <sheet name="bdd client" sheetId="2" r:id="rId3"/>
    <sheet name="rapport" sheetId="4" r:id="rId4"/>
    <sheet name="TDB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12" i="1"/>
  <c r="H12" i="1" s="1"/>
  <c r="J12" i="1" s="1"/>
  <c r="K12" i="1" s="1"/>
  <c r="G13" i="1"/>
  <c r="G14" i="1"/>
  <c r="H14" i="1" s="1"/>
  <c r="G15" i="1"/>
  <c r="G16" i="1"/>
  <c r="G17" i="1"/>
  <c r="G18" i="1"/>
  <c r="G19" i="1"/>
  <c r="G20" i="1"/>
  <c r="H20" i="1" s="1"/>
  <c r="J20" i="1" s="1"/>
  <c r="G21" i="1"/>
  <c r="G22" i="1"/>
  <c r="H22" i="1" s="1"/>
  <c r="J22" i="1" s="1"/>
  <c r="G23" i="1"/>
  <c r="G24" i="1"/>
  <c r="G25" i="1"/>
  <c r="H15" i="1"/>
  <c r="J15" i="1" s="1"/>
  <c r="H19" i="1"/>
  <c r="J19" i="1" s="1"/>
  <c r="H23" i="1"/>
  <c r="J23" i="1" s="1"/>
  <c r="H18" i="1"/>
  <c r="J18" i="1" s="1"/>
  <c r="H25" i="1"/>
  <c r="J25" i="1" s="1"/>
  <c r="H13" i="1"/>
  <c r="H17" i="1"/>
  <c r="J17" i="1" s="1"/>
  <c r="H21" i="1"/>
  <c r="J21" i="1" s="1"/>
  <c r="G6" i="3"/>
  <c r="C9" i="3"/>
  <c r="C8" i="3"/>
  <c r="C7" i="3"/>
  <c r="H11" i="1"/>
  <c r="J11" i="1" s="1"/>
  <c r="K11" i="1" s="1"/>
  <c r="I11" i="1"/>
  <c r="K15" i="1"/>
  <c r="K16" i="1"/>
  <c r="K17" i="1"/>
  <c r="K18" i="1"/>
  <c r="K19" i="1"/>
  <c r="K20" i="1"/>
  <c r="K21" i="1"/>
  <c r="K22" i="1"/>
  <c r="K23" i="1"/>
  <c r="K24" i="1"/>
  <c r="K25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H16" i="1"/>
  <c r="J16" i="1" s="1"/>
  <c r="H24" i="1"/>
  <c r="J24" i="1" s="1"/>
  <c r="C6" i="1"/>
  <c r="J14" i="1" l="1"/>
  <c r="K14" i="1" s="1"/>
  <c r="J13" i="1"/>
  <c r="K13" i="1" s="1"/>
</calcChain>
</file>

<file path=xl/sharedStrings.xml><?xml version="1.0" encoding="utf-8"?>
<sst xmlns="http://schemas.openxmlformats.org/spreadsheetml/2006/main" count="66" uniqueCount="36">
  <si>
    <t xml:space="preserve">               Suivi des clients</t>
  </si>
  <si>
    <t>N facture</t>
  </si>
  <si>
    <t>Date d'émission</t>
  </si>
  <si>
    <t>Client</t>
  </si>
  <si>
    <t>Délai</t>
  </si>
  <si>
    <t>Montant facturé</t>
  </si>
  <si>
    <t>Montant encaissé</t>
  </si>
  <si>
    <t>Solde</t>
  </si>
  <si>
    <t>Échéance</t>
  </si>
  <si>
    <t>Retard</t>
  </si>
  <si>
    <t>statut</t>
  </si>
  <si>
    <t>N°facture</t>
  </si>
  <si>
    <t>Date d'encaissement</t>
  </si>
  <si>
    <t>Référence</t>
  </si>
  <si>
    <t>Mode de paiement</t>
  </si>
  <si>
    <t>TELE</t>
  </si>
  <si>
    <t>Adresse</t>
  </si>
  <si>
    <t>Mail</t>
  </si>
  <si>
    <t>SAMY 01</t>
  </si>
  <si>
    <t>SAMY 02</t>
  </si>
  <si>
    <t>SAMY 03</t>
  </si>
  <si>
    <t>SAMY 04</t>
  </si>
  <si>
    <t>SAMY 05</t>
  </si>
  <si>
    <t>SAMY 06</t>
  </si>
  <si>
    <t>SAMY 07</t>
  </si>
  <si>
    <t>SAMY 08</t>
  </si>
  <si>
    <t>SAMY 09</t>
  </si>
  <si>
    <t>SAMY 10</t>
  </si>
  <si>
    <t>f-001</t>
  </si>
  <si>
    <t>f-002</t>
  </si>
  <si>
    <t>f-005</t>
  </si>
  <si>
    <t>f-006</t>
  </si>
  <si>
    <t>r-001</t>
  </si>
  <si>
    <t>chèque</t>
  </si>
  <si>
    <t>r-005</t>
  </si>
  <si>
    <t>virement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</si>
</sst>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90">
        <stop position="0">
          <color theme="9" tint="-0.25098422193060094"/>
        </stop>
        <stop position="1">
          <color theme="9" tint="0.80001220740379042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6">
    <xf numFmtId="0" fontId="0" fillId="0" borderId="0" xfId="0"/>
    <xf numFmtId="0" fontId="0" fillId="3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3" borderId="7" xfId="0" applyFill="1" applyBorder="1"/>
    <xf numFmtId="0" fontId="0" fillId="3" borderId="8" xfId="0" applyFill="1" applyBorder="1"/>
    <xf numFmtId="0" fontId="0" fillId="5" borderId="1" xfId="0" applyFill="1" applyBorder="1"/>
    <xf numFmtId="0" fontId="0" fillId="5" borderId="10" xfId="0" applyFill="1" applyBorder="1"/>
    <xf numFmtId="0" fontId="2" fillId="3" borderId="0" xfId="0" applyFont="1" applyFill="1" applyAlignment="1">
      <alignment horizontal="right"/>
    </xf>
    <xf numFmtId="0" fontId="0" fillId="5" borderId="5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6" xfId="0" applyFill="1" applyBorder="1"/>
    <xf numFmtId="0" fontId="0" fillId="5" borderId="9" xfId="0" applyFill="1" applyBorder="1"/>
    <xf numFmtId="14" fontId="0" fillId="5" borderId="10" xfId="0" applyNumberFormat="1" applyFill="1" applyBorder="1"/>
    <xf numFmtId="43" fontId="0" fillId="5" borderId="10" xfId="1" applyFont="1" applyFill="1" applyBorder="1"/>
    <xf numFmtId="43" fontId="0" fillId="5" borderId="1" xfId="1" applyFont="1" applyFill="1" applyBorder="1"/>
    <xf numFmtId="43" fontId="0" fillId="5" borderId="8" xfId="1" applyFont="1" applyFill="1" applyBorder="1"/>
    <xf numFmtId="14" fontId="0" fillId="5" borderId="1" xfId="0" applyNumberFormat="1" applyFill="1" applyBorder="1"/>
    <xf numFmtId="14" fontId="0" fillId="5" borderId="8" xfId="0" applyNumberFormat="1" applyFill="1" applyBorder="1"/>
    <xf numFmtId="14" fontId="0" fillId="5" borderId="10" xfId="0" applyNumberFormat="1" applyFill="1" applyBorder="1" applyAlignment="1">
      <alignment horizontal="right"/>
    </xf>
    <xf numFmtId="0" fontId="0" fillId="5" borderId="10" xfId="0" applyFill="1" applyBorder="1" applyAlignment="1">
      <alignment horizontal="right"/>
    </xf>
    <xf numFmtId="43" fontId="0" fillId="5" borderId="10" xfId="1" applyFont="1" applyFill="1" applyBorder="1" applyAlignment="1">
      <alignment horizontal="right"/>
    </xf>
    <xf numFmtId="4" fontId="0" fillId="5" borderId="1" xfId="0" applyNumberFormat="1" applyFill="1" applyBorder="1"/>
    <xf numFmtId="0" fontId="1" fillId="2" borderId="0" xfId="0" applyFont="1" applyFill="1" applyAlignment="1">
      <alignment horizontal="left" vertical="center"/>
    </xf>
  </cellXfs>
  <cellStyles count="2">
    <cellStyle name="Milliers" xfId="1" builtinId="3"/>
    <cellStyle name="Normal" xfId="0" builtinId="0"/>
  </cellStyles>
  <dxfs count="35"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E2EFDA"/>
        </patternFill>
      </fill>
    </dxf>
    <dxf>
      <border>
        <bottom style="thin">
          <color rgb="FF000000"/>
        </bottom>
      </border>
    </dxf>
    <dxf>
      <fill>
        <patternFill patternType="solid">
          <fgColor indexed="64"/>
          <bgColor theme="9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rgb="FF000000"/>
        </bottom>
      </border>
    </dxf>
    <dxf>
      <fill>
        <patternFill patternType="solid">
          <fgColor indexed="64"/>
          <bgColor theme="9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5" formatCode="_-* #,##0.00_-;\-* #,##0.00_-;_-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9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5</xdr:row>
      <xdr:rowOff>114300</xdr:rowOff>
    </xdr:from>
    <xdr:to>
      <xdr:col>5</xdr:col>
      <xdr:colOff>1047750</xdr:colOff>
      <xdr:row>7</xdr:row>
      <xdr:rowOff>19050</xdr:rowOff>
    </xdr:to>
    <xdr:sp macro="[0]!creanc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E50EA7C-9A79-FA70-41A8-DB7422859018}"/>
            </a:ext>
          </a:extLst>
        </xdr:cNvPr>
        <xdr:cNvSpPr/>
      </xdr:nvSpPr>
      <xdr:spPr>
        <a:xfrm>
          <a:off x="4267200" y="1066800"/>
          <a:ext cx="847725" cy="28575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104775</xdr:colOff>
      <xdr:row>5</xdr:row>
      <xdr:rowOff>114300</xdr:rowOff>
    </xdr:from>
    <xdr:to>
      <xdr:col>6</xdr:col>
      <xdr:colOff>952500</xdr:colOff>
      <xdr:row>7</xdr:row>
      <xdr:rowOff>19050</xdr:rowOff>
    </xdr:to>
    <xdr:sp macro="[0]!effac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5F65164-8389-CD5A-E7B4-8DB6313CB1CA}"/>
            </a:ext>
          </a:extLst>
        </xdr:cNvPr>
        <xdr:cNvSpPr/>
      </xdr:nvSpPr>
      <xdr:spPr>
        <a:xfrm>
          <a:off x="5353050" y="1066800"/>
          <a:ext cx="847725" cy="28575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Annuler</a:t>
          </a:r>
        </a:p>
        <a:p>
          <a:pPr algn="l"/>
          <a:endParaRPr lang="fr-FR" sz="1100"/>
        </a:p>
      </xdr:txBody>
    </xdr:sp>
    <xdr:clientData/>
  </xdr:twoCellAnchor>
  <xdr:twoCellAnchor>
    <xdr:from>
      <xdr:col>2</xdr:col>
      <xdr:colOff>1038225</xdr:colOff>
      <xdr:row>0</xdr:row>
      <xdr:rowOff>57150</xdr:rowOff>
    </xdr:from>
    <xdr:to>
      <xdr:col>4</xdr:col>
      <xdr:colOff>66675</xdr:colOff>
      <xdr:row>1</xdr:row>
      <xdr:rowOff>152400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3178486A-838A-2C54-DB18-1891A008D837}"/>
            </a:ext>
          </a:extLst>
        </xdr:cNvPr>
        <xdr:cNvSpPr/>
      </xdr:nvSpPr>
      <xdr:spPr>
        <a:xfrm>
          <a:off x="2143125" y="57150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Créance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0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240506</xdr:colOff>
      <xdr:row>0</xdr:row>
      <xdr:rowOff>57150</xdr:rowOff>
    </xdr:from>
    <xdr:to>
      <xdr:col>5</xdr:col>
      <xdr:colOff>192881</xdr:colOff>
      <xdr:row>1</xdr:row>
      <xdr:rowOff>152400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F0AAE590-C4C6-E1BC-CA13-C53E03C4D6D5}"/>
            </a:ext>
          </a:extLst>
        </xdr:cNvPr>
        <xdr:cNvSpPr/>
      </xdr:nvSpPr>
      <xdr:spPr>
        <a:xfrm>
          <a:off x="3288506" y="57150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Reglement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366712</xdr:colOff>
      <xdr:row>0</xdr:row>
      <xdr:rowOff>57150</xdr:rowOff>
    </xdr:from>
    <xdr:to>
      <xdr:col>6</xdr:col>
      <xdr:colOff>157162</xdr:colOff>
      <xdr:row>1</xdr:row>
      <xdr:rowOff>152400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8772AEBB-2E9A-E6BB-EAB0-DB192BAF8E31}"/>
            </a:ext>
          </a:extLst>
        </xdr:cNvPr>
        <xdr:cNvSpPr/>
      </xdr:nvSpPr>
      <xdr:spPr>
        <a:xfrm>
          <a:off x="4433887" y="57150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BDD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330993</xdr:colOff>
      <xdr:row>0</xdr:row>
      <xdr:rowOff>57150</xdr:rowOff>
    </xdr:from>
    <xdr:to>
      <xdr:col>7</xdr:col>
      <xdr:colOff>26193</xdr:colOff>
      <xdr:row>1</xdr:row>
      <xdr:rowOff>142875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38B28113-FDBD-36E2-32AC-F31B28374399}"/>
            </a:ext>
          </a:extLst>
        </xdr:cNvPr>
        <xdr:cNvSpPr/>
      </xdr:nvSpPr>
      <xdr:spPr>
        <a:xfrm>
          <a:off x="5579268" y="57150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Rapport</a:t>
          </a:r>
          <a:endParaRPr lang="fr-F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7</xdr:col>
      <xdr:colOff>200025</xdr:colOff>
      <xdr:row>0</xdr:row>
      <xdr:rowOff>57150</xdr:rowOff>
    </xdr:from>
    <xdr:to>
      <xdr:col>8</xdr:col>
      <xdr:colOff>400050</xdr:colOff>
      <xdr:row>1</xdr:row>
      <xdr:rowOff>142875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A683963B-C35E-57CF-A775-EB5A478878D2}"/>
            </a:ext>
          </a:extLst>
        </xdr:cNvPr>
        <xdr:cNvSpPr/>
      </xdr:nvSpPr>
      <xdr:spPr>
        <a:xfrm>
          <a:off x="6724650" y="57150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TDB</a:t>
          </a:r>
        </a:p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&lt;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1038225</xdr:colOff>
      <xdr:row>9</xdr:row>
      <xdr:rowOff>180975</xdr:rowOff>
    </xdr:from>
    <xdr:to>
      <xdr:col>3</xdr:col>
      <xdr:colOff>714375</xdr:colOff>
      <xdr:row>11</xdr:row>
      <xdr:rowOff>85725</xdr:rowOff>
    </xdr:to>
    <xdr:sp macro="[0]!ajouter_reg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E3380B6-F2AE-4442-A812-12E02A851FC9}"/>
            </a:ext>
          </a:extLst>
        </xdr:cNvPr>
        <xdr:cNvSpPr/>
      </xdr:nvSpPr>
      <xdr:spPr>
        <a:xfrm>
          <a:off x="2314575" y="1895475"/>
          <a:ext cx="847725" cy="28575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</a:p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952500</xdr:colOff>
      <xdr:row>9</xdr:row>
      <xdr:rowOff>180975</xdr:rowOff>
    </xdr:from>
    <xdr:to>
      <xdr:col>4</xdr:col>
      <xdr:colOff>333375</xdr:colOff>
      <xdr:row>11</xdr:row>
      <xdr:rowOff>85725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65DA8263-A160-495F-9FE4-90A216A2D3CB}"/>
            </a:ext>
          </a:extLst>
        </xdr:cNvPr>
        <xdr:cNvSpPr/>
      </xdr:nvSpPr>
      <xdr:spPr>
        <a:xfrm>
          <a:off x="3400425" y="1895475"/>
          <a:ext cx="847725" cy="28575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Annuler</a:t>
          </a:r>
        </a:p>
        <a:p>
          <a:pPr algn="l"/>
          <a:endParaRPr lang="fr-FR" sz="1100"/>
        </a:p>
      </xdr:txBody>
    </xdr:sp>
    <xdr:clientData/>
  </xdr:twoCellAnchor>
  <xdr:twoCellAnchor editAs="absolute">
    <xdr:from>
      <xdr:col>2</xdr:col>
      <xdr:colOff>1009650</xdr:colOff>
      <xdr:row>0</xdr:row>
      <xdr:rowOff>38100</xdr:rowOff>
    </xdr:from>
    <xdr:to>
      <xdr:col>3</xdr:col>
      <xdr:colOff>809625</xdr:colOff>
      <xdr:row>1</xdr:row>
      <xdr:rowOff>133350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EF7BFD9D-28FD-417E-9EC9-FAAF3C6D5C02}"/>
            </a:ext>
          </a:extLst>
        </xdr:cNvPr>
        <xdr:cNvSpPr/>
      </xdr:nvSpPr>
      <xdr:spPr>
        <a:xfrm>
          <a:off x="2286000" y="38100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Créance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0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983456</xdr:colOff>
      <xdr:row>0</xdr:row>
      <xdr:rowOff>38100</xdr:rowOff>
    </xdr:from>
    <xdr:to>
      <xdr:col>4</xdr:col>
      <xdr:colOff>488156</xdr:colOff>
      <xdr:row>1</xdr:row>
      <xdr:rowOff>133350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5383895-754A-4437-A6C3-D839D9F9AD67}"/>
            </a:ext>
          </a:extLst>
        </xdr:cNvPr>
        <xdr:cNvSpPr/>
      </xdr:nvSpPr>
      <xdr:spPr>
        <a:xfrm>
          <a:off x="3431381" y="38100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Reglement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4</xdr:col>
      <xdr:colOff>661987</xdr:colOff>
      <xdr:row>0</xdr:row>
      <xdr:rowOff>38100</xdr:rowOff>
    </xdr:from>
    <xdr:to>
      <xdr:col>5</xdr:col>
      <xdr:colOff>614362</xdr:colOff>
      <xdr:row>1</xdr:row>
      <xdr:rowOff>133350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3225922C-B1FA-4356-83A0-B1D26F8F95D8}"/>
            </a:ext>
          </a:extLst>
        </xdr:cNvPr>
        <xdr:cNvSpPr/>
      </xdr:nvSpPr>
      <xdr:spPr>
        <a:xfrm>
          <a:off x="4576762" y="38100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BDD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absolute">
    <xdr:from>
      <xdr:col>5</xdr:col>
      <xdr:colOff>788193</xdr:colOff>
      <xdr:row>0</xdr:row>
      <xdr:rowOff>38100</xdr:rowOff>
    </xdr:from>
    <xdr:to>
      <xdr:col>6</xdr:col>
      <xdr:colOff>445293</xdr:colOff>
      <xdr:row>1</xdr:row>
      <xdr:rowOff>123825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7DF18D77-BBF9-4040-A19B-1D98EA097AD3}"/>
            </a:ext>
          </a:extLst>
        </xdr:cNvPr>
        <xdr:cNvSpPr/>
      </xdr:nvSpPr>
      <xdr:spPr>
        <a:xfrm>
          <a:off x="5722143" y="38100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Rapport</a:t>
          </a:r>
          <a:endParaRPr lang="fr-F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 editAs="absolute">
    <xdr:from>
      <xdr:col>6</xdr:col>
      <xdr:colOff>619125</xdr:colOff>
      <xdr:row>0</xdr:row>
      <xdr:rowOff>38100</xdr:rowOff>
    </xdr:from>
    <xdr:to>
      <xdr:col>7</xdr:col>
      <xdr:colOff>228600</xdr:colOff>
      <xdr:row>1</xdr:row>
      <xdr:rowOff>123825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1D2C4D2-2E81-4715-9D84-3D93F2CCF93F}"/>
            </a:ext>
          </a:extLst>
        </xdr:cNvPr>
        <xdr:cNvSpPr/>
      </xdr:nvSpPr>
      <xdr:spPr>
        <a:xfrm>
          <a:off x="6867525" y="38100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TDB</a:t>
          </a:r>
        </a:p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&lt;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0</xdr:row>
      <xdr:rowOff>28575</xdr:rowOff>
    </xdr:from>
    <xdr:to>
      <xdr:col>4</xdr:col>
      <xdr:colOff>361950</xdr:colOff>
      <xdr:row>1</xdr:row>
      <xdr:rowOff>123825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F3C205-627A-48C6-BD32-26A86A779223}"/>
            </a:ext>
          </a:extLst>
        </xdr:cNvPr>
        <xdr:cNvSpPr/>
      </xdr:nvSpPr>
      <xdr:spPr>
        <a:xfrm>
          <a:off x="2438400" y="2857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Créance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0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535781</xdr:colOff>
      <xdr:row>0</xdr:row>
      <xdr:rowOff>28575</xdr:rowOff>
    </xdr:from>
    <xdr:to>
      <xdr:col>5</xdr:col>
      <xdr:colOff>488156</xdr:colOff>
      <xdr:row>1</xdr:row>
      <xdr:rowOff>123825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75ADC37B-59E4-4BF7-B7E5-4E0E1953D098}"/>
            </a:ext>
          </a:extLst>
        </xdr:cNvPr>
        <xdr:cNvSpPr/>
      </xdr:nvSpPr>
      <xdr:spPr>
        <a:xfrm>
          <a:off x="3583781" y="2857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Reglement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661987</xdr:colOff>
      <xdr:row>0</xdr:row>
      <xdr:rowOff>28575</xdr:rowOff>
    </xdr:from>
    <xdr:to>
      <xdr:col>6</xdr:col>
      <xdr:colOff>452437</xdr:colOff>
      <xdr:row>1</xdr:row>
      <xdr:rowOff>123825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112C8CDB-AB50-4EB3-B605-03BB1E6E3B59}"/>
            </a:ext>
          </a:extLst>
        </xdr:cNvPr>
        <xdr:cNvSpPr/>
      </xdr:nvSpPr>
      <xdr:spPr>
        <a:xfrm>
          <a:off x="4729162" y="2857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BDD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626268</xdr:colOff>
      <xdr:row>0</xdr:row>
      <xdr:rowOff>28575</xdr:rowOff>
    </xdr:from>
    <xdr:to>
      <xdr:col>7</xdr:col>
      <xdr:colOff>321468</xdr:colOff>
      <xdr:row>1</xdr:row>
      <xdr:rowOff>114300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150622A8-5EB9-4373-BB6F-4D5290F7BFE4}"/>
            </a:ext>
          </a:extLst>
        </xdr:cNvPr>
        <xdr:cNvSpPr/>
      </xdr:nvSpPr>
      <xdr:spPr>
        <a:xfrm>
          <a:off x="5874543" y="28575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Rapport</a:t>
          </a:r>
          <a:endParaRPr lang="fr-F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7</xdr:col>
      <xdr:colOff>495300</xdr:colOff>
      <xdr:row>0</xdr:row>
      <xdr:rowOff>28575</xdr:rowOff>
    </xdr:from>
    <xdr:to>
      <xdr:col>8</xdr:col>
      <xdr:colOff>695325</xdr:colOff>
      <xdr:row>1</xdr:row>
      <xdr:rowOff>114300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45FF0A19-4BF5-41DA-BD62-3EB243D3A4E9}"/>
            </a:ext>
          </a:extLst>
        </xdr:cNvPr>
        <xdr:cNvSpPr/>
      </xdr:nvSpPr>
      <xdr:spPr>
        <a:xfrm>
          <a:off x="7019925" y="28575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TDB</a:t>
          </a:r>
        </a:p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&lt;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0</xdr:row>
      <xdr:rowOff>47625</xdr:rowOff>
    </xdr:from>
    <xdr:to>
      <xdr:col>4</xdr:col>
      <xdr:colOff>247650</xdr:colOff>
      <xdr:row>1</xdr:row>
      <xdr:rowOff>142875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E524167-F4E8-40DB-B4A3-0E7A872AAFE1}"/>
            </a:ext>
          </a:extLst>
        </xdr:cNvPr>
        <xdr:cNvSpPr/>
      </xdr:nvSpPr>
      <xdr:spPr>
        <a:xfrm>
          <a:off x="2324100" y="4762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Créance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0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421481</xdr:colOff>
      <xdr:row>0</xdr:row>
      <xdr:rowOff>47625</xdr:rowOff>
    </xdr:from>
    <xdr:to>
      <xdr:col>5</xdr:col>
      <xdr:colOff>373856</xdr:colOff>
      <xdr:row>1</xdr:row>
      <xdr:rowOff>142875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3A999F9-3AB6-427A-92F0-8F86E10559F7}"/>
            </a:ext>
          </a:extLst>
        </xdr:cNvPr>
        <xdr:cNvSpPr/>
      </xdr:nvSpPr>
      <xdr:spPr>
        <a:xfrm>
          <a:off x="3469481" y="4762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Reglement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547687</xdr:colOff>
      <xdr:row>0</xdr:row>
      <xdr:rowOff>47625</xdr:rowOff>
    </xdr:from>
    <xdr:to>
      <xdr:col>6</xdr:col>
      <xdr:colOff>338137</xdr:colOff>
      <xdr:row>1</xdr:row>
      <xdr:rowOff>142875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22BB4BD7-427F-4779-A7C5-40C2391516B3}"/>
            </a:ext>
          </a:extLst>
        </xdr:cNvPr>
        <xdr:cNvSpPr/>
      </xdr:nvSpPr>
      <xdr:spPr>
        <a:xfrm>
          <a:off x="4614862" y="4762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BDD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511968</xdr:colOff>
      <xdr:row>0</xdr:row>
      <xdr:rowOff>47625</xdr:rowOff>
    </xdr:from>
    <xdr:to>
      <xdr:col>7</xdr:col>
      <xdr:colOff>207168</xdr:colOff>
      <xdr:row>1</xdr:row>
      <xdr:rowOff>133350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04C1C10-8E4D-4D0A-8522-42EE88324070}"/>
            </a:ext>
          </a:extLst>
        </xdr:cNvPr>
        <xdr:cNvSpPr/>
      </xdr:nvSpPr>
      <xdr:spPr>
        <a:xfrm>
          <a:off x="5760243" y="47625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Rapport</a:t>
          </a:r>
          <a:endParaRPr lang="fr-F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7</xdr:col>
      <xdr:colOff>381000</xdr:colOff>
      <xdr:row>0</xdr:row>
      <xdr:rowOff>47625</xdr:rowOff>
    </xdr:from>
    <xdr:to>
      <xdr:col>8</xdr:col>
      <xdr:colOff>581025</xdr:colOff>
      <xdr:row>1</xdr:row>
      <xdr:rowOff>133350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C219D21-F9AF-43E9-8528-7CE73C4058B0}"/>
            </a:ext>
          </a:extLst>
        </xdr:cNvPr>
        <xdr:cNvSpPr/>
      </xdr:nvSpPr>
      <xdr:spPr>
        <a:xfrm>
          <a:off x="6905625" y="47625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TDB</a:t>
          </a:r>
        </a:p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&lt;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1085850</xdr:colOff>
      <xdr:row>0</xdr:row>
      <xdr:rowOff>47625</xdr:rowOff>
    </xdr:from>
    <xdr:to>
      <xdr:col>4</xdr:col>
      <xdr:colOff>114300</xdr:colOff>
      <xdr:row>1</xdr:row>
      <xdr:rowOff>142875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FFE74B8-D6D6-45C2-BC7D-70FA2BE42846}"/>
            </a:ext>
          </a:extLst>
        </xdr:cNvPr>
        <xdr:cNvSpPr/>
      </xdr:nvSpPr>
      <xdr:spPr>
        <a:xfrm>
          <a:off x="2190750" y="4762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Créance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0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288131</xdr:colOff>
      <xdr:row>0</xdr:row>
      <xdr:rowOff>47625</xdr:rowOff>
    </xdr:from>
    <xdr:to>
      <xdr:col>5</xdr:col>
      <xdr:colOff>240506</xdr:colOff>
      <xdr:row>1</xdr:row>
      <xdr:rowOff>142875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4E736D7-14F8-4BF6-A4EE-4A6311FC2DE9}"/>
            </a:ext>
          </a:extLst>
        </xdr:cNvPr>
        <xdr:cNvSpPr/>
      </xdr:nvSpPr>
      <xdr:spPr>
        <a:xfrm>
          <a:off x="3336131" y="4762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Reglement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414337</xdr:colOff>
      <xdr:row>0</xdr:row>
      <xdr:rowOff>47625</xdr:rowOff>
    </xdr:from>
    <xdr:to>
      <xdr:col>6</xdr:col>
      <xdr:colOff>204787</xdr:colOff>
      <xdr:row>1</xdr:row>
      <xdr:rowOff>142875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167CA75-68E0-4611-BB2B-A53BAFF2F35A}"/>
            </a:ext>
          </a:extLst>
        </xdr:cNvPr>
        <xdr:cNvSpPr/>
      </xdr:nvSpPr>
      <xdr:spPr>
        <a:xfrm>
          <a:off x="4481512" y="47625"/>
          <a:ext cx="971550" cy="285750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threePt" dir="t"/>
          </a:scene3d>
          <a:sp3d extrusionH="57150">
            <a:bevelT w="82550" h="38100" prst="coolSlant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BDD</a:t>
          </a:r>
          <a:endParaRPr lang="fr-FR" sz="1200" b="1" cap="none" spc="0">
            <a:ln w="0"/>
            <a:solidFill>
              <a:schemeClr val="bg1"/>
            </a:solidFill>
            <a:effectLst>
              <a:glow rad="63500">
                <a:schemeClr val="accent5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378618</xdr:colOff>
      <xdr:row>0</xdr:row>
      <xdr:rowOff>47625</xdr:rowOff>
    </xdr:from>
    <xdr:to>
      <xdr:col>7</xdr:col>
      <xdr:colOff>73818</xdr:colOff>
      <xdr:row>1</xdr:row>
      <xdr:rowOff>133350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32575CE-1ED5-4353-A8BE-BBA3D092CFF7}"/>
            </a:ext>
          </a:extLst>
        </xdr:cNvPr>
        <xdr:cNvSpPr/>
      </xdr:nvSpPr>
      <xdr:spPr>
        <a:xfrm>
          <a:off x="5626893" y="47625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Rapport</a:t>
          </a:r>
          <a:endParaRPr lang="fr-FR" sz="1200" b="1" cap="none" spc="0">
            <a:ln/>
            <a:solidFill>
              <a:schemeClr val="accent4"/>
            </a:solidFill>
            <a:effectLst/>
          </a:endParaRPr>
        </a:p>
      </xdr:txBody>
    </xdr:sp>
    <xdr:clientData/>
  </xdr:twoCellAnchor>
  <xdr:twoCellAnchor>
    <xdr:from>
      <xdr:col>7</xdr:col>
      <xdr:colOff>247650</xdr:colOff>
      <xdr:row>0</xdr:row>
      <xdr:rowOff>47625</xdr:rowOff>
    </xdr:from>
    <xdr:to>
      <xdr:col>8</xdr:col>
      <xdr:colOff>447675</xdr:colOff>
      <xdr:row>1</xdr:row>
      <xdr:rowOff>133350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27383D5D-92C6-4F01-A4CD-0BCE894EEE77}"/>
            </a:ext>
          </a:extLst>
        </xdr:cNvPr>
        <xdr:cNvSpPr/>
      </xdr:nvSpPr>
      <xdr:spPr>
        <a:xfrm>
          <a:off x="6772275" y="47625"/>
          <a:ext cx="971550" cy="276225"/>
        </a:xfrm>
        <a:prstGeom prst="roundRect">
          <a:avLst/>
        </a:prstGeom>
      </xdr:spPr>
      <xdr:style>
        <a:lnRef idx="1">
          <a:schemeClr val="accent6"/>
        </a:lnRef>
        <a:fillRef idx="1001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TDB</a:t>
          </a:r>
        </a:p>
        <a:p>
          <a:pPr algn="ctr"/>
          <a:r>
            <a:rPr lang="fr-FR" sz="12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&lt;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B7605C-AA7C-4EA3-9003-CC117BF53EB6}" name="Tableau1" displayName="Tableau1" ref="B10:K25" totalsRowShown="0" headerRowDxfId="34" dataDxfId="32" headerRowBorderDxfId="33" tableBorderDxfId="31" totalsRowBorderDxfId="30">
  <autoFilter ref="B10:K25" xr:uid="{4AB7605C-AA7C-4EA3-9003-CC117BF53EB6}"/>
  <tableColumns count="10">
    <tableColumn id="1" xr3:uid="{8A639293-02C6-4460-B130-E94E6449936C}" name="N facture" dataDxfId="29"/>
    <tableColumn id="2" xr3:uid="{D6799C6C-AD51-4212-9849-942F725281F1}" name="Date d'émission" dataDxfId="28"/>
    <tableColumn id="3" xr3:uid="{3C174461-0B77-4161-9E43-0A2BE1080CE2}" name="Client" dataDxfId="27"/>
    <tableColumn id="4" xr3:uid="{AC6C1609-8C15-4A40-A38F-A40EE19D0AE2}" name="Délai" dataDxfId="26"/>
    <tableColumn id="5" xr3:uid="{AC497D8C-597E-4F0A-AE85-1EDBE9CF855D}" name="Montant facturé" dataDxfId="25" dataCellStyle="Milliers"/>
    <tableColumn id="6" xr3:uid="{08F0D6AD-5D91-4288-B4A2-D9179F8AF442}" name="Montant encaissé" dataDxfId="24" dataCellStyle="Milliers">
      <calculatedColumnFormula>SUMIF(Tableau134[N facture],Tableau1[[#This Row],[N facture]],Tableau134[Montant encaissé])</calculatedColumnFormula>
    </tableColumn>
    <tableColumn id="7" xr3:uid="{5AA1EAD3-F1D1-4AAB-ADC9-ADD1FF084BE0}" name="Solde" dataDxfId="23" dataCellStyle="Milliers">
      <calculatedColumnFormula>Tableau1[[#This Row],[Montant facturé]]-Tableau1[[#This Row],[Montant encaissé]]</calculatedColumnFormula>
    </tableColumn>
    <tableColumn id="8" xr3:uid="{E5A1143C-0755-4AA0-918C-91009D395B78}" name="Échéance" dataDxfId="22">
      <calculatedColumnFormula>IF(Tableau1[[#This Row],[Date d''émission]]="","",Tableau1[[#This Row],[Date d''émission]]+Tableau1[[#This Row],[Délai]])</calculatedColumnFormula>
    </tableColumn>
    <tableColumn id="9" xr3:uid="{617C9ED9-F13E-4361-BBD0-8975A1614E79}" name="Retard" dataDxfId="21">
      <calculatedColumnFormula>IF(Tableau1[[#This Row],[Solde]]&gt;0,Tableau1[[#This Row],[Échéance]]-TODAY(),"")</calculatedColumnFormula>
    </tableColumn>
    <tableColumn id="10" xr3:uid="{F2255248-EA6C-49F2-AD34-966BD93E064F}" name="statut" dataDxfId="20">
      <calculatedColumnFormula>IF(Tableau1[[#This Row],[N facture]]="","",IF(Tableau1[[#This Row],[Solde]]=0,"payé",IF(Tableau1[[#This Row],[Retard]]&gt;0,"Impayé dans le délai",IF(Tableau1[[#This Row],[Retard]]&lt;0,"Facture Impayé"))))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2C1E67-8CAD-41C5-B30C-3D65B7D4924B}" name="Tableau134" displayName="Tableau134" ref="B13:G16" totalsRowShown="0" headerRowDxfId="19" dataDxfId="17" headerRowBorderDxfId="18" tableBorderDxfId="16" totalsRowBorderDxfId="15">
  <autoFilter ref="B13:G16" xr:uid="{4AB7605C-AA7C-4EA3-9003-CC117BF53EB6}"/>
  <tableColumns count="6">
    <tableColumn id="1" xr3:uid="{7DA51039-F888-4F3B-BAC2-569B135FA722}" name="N facture" dataDxfId="14"/>
    <tableColumn id="2" xr3:uid="{AE05BF8F-9B76-486B-AC61-94509B40824E}" name="Client" dataDxfId="13"/>
    <tableColumn id="3" xr3:uid="{3F015052-FD68-4584-877D-EAD4F831DD74}" name="Date d'encaissement" dataDxfId="12"/>
    <tableColumn id="4" xr3:uid="{FA7F4BA0-D486-43C2-8971-E27FFCB1D070}" name="Référence" dataDxfId="11"/>
    <tableColumn id="5" xr3:uid="{C1AE0524-350E-4AF1-8F32-099C5AB45D2F}" name="Montant encaissé" dataDxfId="10"/>
    <tableColumn id="6" xr3:uid="{73A52277-DDF5-4EC8-AB37-1F018562FDC6}" name="Mode de paiement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5F92F0-027F-412F-94C0-7699A517122C}" name="Tableau13" displayName="Tableau13" ref="B10:E21" totalsRowShown="0" headerRowDxfId="8" dataDxfId="6" headerRowBorderDxfId="7" tableBorderDxfId="5" totalsRowBorderDxfId="4">
  <autoFilter ref="B10:E21" xr:uid="{4AB7605C-AA7C-4EA3-9003-CC117BF53EB6}"/>
  <tableColumns count="4">
    <tableColumn id="1" xr3:uid="{97818ED3-5C93-485A-8BE8-E203B468B811}" name="Client" dataDxfId="3"/>
    <tableColumn id="2" xr3:uid="{C49BAF1A-D803-463A-962B-A2FE43B3CC4A}" name="TELE" dataDxfId="2"/>
    <tableColumn id="3" xr3:uid="{97029D55-EBBF-46A7-85C5-3879635AB8BF}" name="Adresse" dataDxfId="1"/>
    <tableColumn id="4" xr3:uid="{F941ABC3-6249-4106-850B-862A92EB659B}" name="Mai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5"/>
  <sheetViews>
    <sheetView showGridLines="0" tabSelected="1" topLeftCell="A4" workbookViewId="0">
      <selection activeCell="B15" sqref="B15:K15"/>
    </sheetView>
  </sheetViews>
  <sheetFormatPr baseColWidth="10" defaultColWidth="9.140625" defaultRowHeight="15" x14ac:dyDescent="0.25"/>
  <cols>
    <col min="1" max="1" width="5" style="1" customWidth="1"/>
    <col min="2" max="2" width="11.5703125" style="1" customWidth="1"/>
    <col min="3" max="3" width="17.5703125" style="1" bestFit="1" customWidth="1"/>
    <col min="4" max="4" width="11.5703125" style="1" customWidth="1"/>
    <col min="5" max="5" width="15.28515625" style="1" customWidth="1"/>
    <col min="6" max="6" width="17.7109375" style="1" bestFit="1" customWidth="1"/>
    <col min="7" max="7" width="19.140625" style="1" bestFit="1" customWidth="1"/>
    <col min="8" max="10" width="11.5703125" style="1" customWidth="1"/>
    <col min="11" max="11" width="29.42578125" style="1" customWidth="1"/>
    <col min="12" max="12" width="9.140625" style="1"/>
  </cols>
  <sheetData>
    <row r="1" spans="1:12" x14ac:dyDescent="0.2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5" spans="1:12" x14ac:dyDescent="0.25">
      <c r="B5" s="9" t="s">
        <v>1</v>
      </c>
      <c r="C5" s="8"/>
      <c r="D5" s="9" t="s">
        <v>3</v>
      </c>
      <c r="E5" s="8"/>
      <c r="F5" s="9" t="s">
        <v>5</v>
      </c>
      <c r="G5" s="16"/>
    </row>
    <row r="6" spans="1:12" x14ac:dyDescent="0.25">
      <c r="B6" s="9" t="s">
        <v>2</v>
      </c>
      <c r="C6" s="15">
        <f ca="1">+TODAY()</f>
        <v>45917</v>
      </c>
      <c r="D6" s="9" t="s">
        <v>4</v>
      </c>
      <c r="E6" s="8"/>
    </row>
    <row r="10" spans="1:12" x14ac:dyDescent="0.25">
      <c r="B10" s="2" t="s">
        <v>1</v>
      </c>
      <c r="C10" s="3" t="s">
        <v>2</v>
      </c>
      <c r="D10" s="3" t="s">
        <v>3</v>
      </c>
      <c r="E10" s="3" t="s">
        <v>4</v>
      </c>
      <c r="F10" s="3" t="s">
        <v>5</v>
      </c>
      <c r="G10" s="3" t="s">
        <v>6</v>
      </c>
      <c r="H10" s="3" t="s">
        <v>7</v>
      </c>
      <c r="I10" s="3" t="s">
        <v>8</v>
      </c>
      <c r="J10" s="3" t="s">
        <v>9</v>
      </c>
      <c r="K10" s="4" t="s">
        <v>10</v>
      </c>
    </row>
    <row r="11" spans="1:12" x14ac:dyDescent="0.25">
      <c r="B11" s="8" t="s">
        <v>31</v>
      </c>
      <c r="C11" s="19">
        <v>45917</v>
      </c>
      <c r="D11" s="7" t="s">
        <v>24</v>
      </c>
      <c r="E11" s="7">
        <v>5</v>
      </c>
      <c r="F11" s="17">
        <v>45000</v>
      </c>
      <c r="G11" s="17">
        <f>SUMIF(Tableau134[N facture],Tableau1[[#This Row],[N facture]],Tableau134[Montant encaissé])</f>
        <v>0</v>
      </c>
      <c r="H11" s="17">
        <f>Tableau1[[#This Row],[Montant facturé]]-Tableau1[[#This Row],[Montant encaissé]]</f>
        <v>45000</v>
      </c>
      <c r="I11" s="19">
        <f>IF(Tableau1[[#This Row],[Date d''émission]]="","",Tableau1[[#This Row],[Date d''émission]]+Tableau1[[#This Row],[Délai]])</f>
        <v>45922</v>
      </c>
      <c r="J11" s="7">
        <f ca="1">IF(Tableau1[[#This Row],[Solde]]&gt;0,Tableau1[[#This Row],[Échéance]]-TODAY(),"")</f>
        <v>5</v>
      </c>
      <c r="K11" s="13" t="str">
        <f ca="1">IF(Tableau1[[#This Row],[N facture]]="","",IF(Tableau1[[#This Row],[Solde]]=0,"payé",IF(Tableau1[[#This Row],[Retard]]&gt;0,"Impayé dans le délai",IF(Tableau1[[#This Row],[Retard]]&lt;0,"Facture Impayé"))))</f>
        <v>Impayé dans le délai</v>
      </c>
    </row>
    <row r="12" spans="1:12" x14ac:dyDescent="0.25">
      <c r="B12" s="10" t="s">
        <v>30</v>
      </c>
      <c r="C12" s="19">
        <v>45917</v>
      </c>
      <c r="D12" s="7" t="s">
        <v>22</v>
      </c>
      <c r="E12" s="7">
        <v>30</v>
      </c>
      <c r="F12" s="17">
        <v>90000</v>
      </c>
      <c r="G12" s="17">
        <f>SUMIF(Tableau134[N facture],Tableau1[[#This Row],[N facture]],Tableau134[Montant encaissé])</f>
        <v>40000</v>
      </c>
      <c r="H12" s="17">
        <f>Tableau1[[#This Row],[Montant facturé]]-Tableau1[[#This Row],[Montant encaissé]]</f>
        <v>50000</v>
      </c>
      <c r="I12" s="19">
        <f>IF(Tableau1[[#This Row],[Date d''émission]]="","",Tableau1[[#This Row],[Date d''émission]]+Tableau1[[#This Row],[Délai]])</f>
        <v>45947</v>
      </c>
      <c r="J12" s="7">
        <f ca="1">IF(Tableau1[[#This Row],[Solde]]&gt;0,Tableau1[[#This Row],[Échéance]]-TODAY(),"")</f>
        <v>30</v>
      </c>
      <c r="K12" s="13" t="str">
        <f ca="1">IF(Tableau1[[#This Row],[N facture]]="","",IF(Tableau1[[#This Row],[Solde]]=0,"payé",IF(Tableau1[[#This Row],[Retard]]&gt;0,"Impayé dans le délai",IF(Tableau1[[#This Row],[Retard]]&lt;0,"Facture Impayé"))))</f>
        <v>Impayé dans le délai</v>
      </c>
    </row>
    <row r="13" spans="1:12" x14ac:dyDescent="0.25">
      <c r="B13" s="10" t="s">
        <v>29</v>
      </c>
      <c r="C13" s="19">
        <v>45794</v>
      </c>
      <c r="D13" s="7" t="s">
        <v>19</v>
      </c>
      <c r="E13" s="7">
        <v>30</v>
      </c>
      <c r="F13" s="17">
        <v>60000</v>
      </c>
      <c r="G13" s="17">
        <f>SUMIF(Tableau134[N facture],Tableau1[[#This Row],[N facture]],Tableau134[Montant encaissé])</f>
        <v>0</v>
      </c>
      <c r="H13" s="17">
        <f>Tableau1[[#This Row],[Montant facturé]]-Tableau1[[#This Row],[Montant encaissé]]</f>
        <v>60000</v>
      </c>
      <c r="I13" s="19">
        <f>IF(Tableau1[[#This Row],[Date d''émission]]="","",Tableau1[[#This Row],[Date d''émission]]+Tableau1[[#This Row],[Délai]])</f>
        <v>45824</v>
      </c>
      <c r="J13" s="7">
        <f ca="1">IF(Tableau1[[#This Row],[Solde]]&gt;0,Tableau1[[#This Row],[Échéance]]-TODAY(),"")</f>
        <v>-93</v>
      </c>
      <c r="K13" s="13" t="str">
        <f ca="1">IF(Tableau1[[#This Row],[N facture]]="","",IF(Tableau1[[#This Row],[Solde]]=0,"payé",IF(Tableau1[[#This Row],[Retard]]&gt;0,"Impayé dans le délai",IF(Tableau1[[#This Row],[Retard]]&lt;0,"Facture Impayé"))))</f>
        <v>Facture Impayé</v>
      </c>
    </row>
    <row r="14" spans="1:12" x14ac:dyDescent="0.25">
      <c r="B14" s="10" t="s">
        <v>28</v>
      </c>
      <c r="C14" s="19">
        <v>45613</v>
      </c>
      <c r="D14" s="7" t="s">
        <v>18</v>
      </c>
      <c r="E14" s="7">
        <v>2</v>
      </c>
      <c r="F14" s="17">
        <v>50000</v>
      </c>
      <c r="G14" s="17">
        <f>SUMIF(Tableau134[N facture],Tableau1[[#This Row],[N facture]],Tableau134[Montant encaissé])</f>
        <v>10000</v>
      </c>
      <c r="H14" s="17">
        <f>Tableau1[[#This Row],[Montant facturé]]-Tableau1[[#This Row],[Montant encaissé]]</f>
        <v>40000</v>
      </c>
      <c r="I14" s="19">
        <f>IF(Tableau1[[#This Row],[Date d''émission]]="","",Tableau1[[#This Row],[Date d''émission]]+Tableau1[[#This Row],[Délai]])</f>
        <v>45615</v>
      </c>
      <c r="J14" s="7">
        <f ca="1">IF(Tableau1[[#This Row],[Solde]]&gt;0,Tableau1[[#This Row],[Échéance]]-TODAY(),"")</f>
        <v>-302</v>
      </c>
      <c r="K14" s="13" t="str">
        <f ca="1">IF(Tableau1[[#This Row],[N facture]]="","",IF(Tableau1[[#This Row],[Solde]]=0,"payé",IF(Tableau1[[#This Row],[Retard]]&gt;0,"Impayé dans le délai",IF(Tableau1[[#This Row],[Retard]]&lt;0,"Facture Impayé"))))</f>
        <v>Facture Impayé</v>
      </c>
    </row>
    <row r="15" spans="1:12" x14ac:dyDescent="0.25">
      <c r="B15" s="10"/>
      <c r="C15" s="19"/>
      <c r="D15" s="7"/>
      <c r="E15" s="7"/>
      <c r="F15" s="17"/>
      <c r="G15" s="17">
        <f>SUMIF(Tableau134[N facture],Tableau1[[#This Row],[N facture]],Tableau134[Montant encaissé])</f>
        <v>0</v>
      </c>
      <c r="H15" s="17">
        <f>Tableau1[[#This Row],[Montant facturé]]-Tableau1[[#This Row],[Montant encaissé]]</f>
        <v>0</v>
      </c>
      <c r="I15" s="19" t="str">
        <f>IF(Tableau1[[#This Row],[Date d''émission]]="","",Tableau1[[#This Row],[Date d''émission]]+Tableau1[[#This Row],[Délai]])</f>
        <v/>
      </c>
      <c r="J15" s="7" t="str">
        <f ca="1">IF(Tableau1[[#This Row],[Solde]]&gt;0,Tableau1[[#This Row],[Échéance]]-TODAY(),"")</f>
        <v/>
      </c>
      <c r="K15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16" spans="1:12" x14ac:dyDescent="0.25">
      <c r="B16" s="10"/>
      <c r="C16" s="19"/>
      <c r="D16" s="7"/>
      <c r="E16" s="7"/>
      <c r="F16" s="17"/>
      <c r="G16" s="17">
        <f>SUMIF(Tableau134[N facture],Tableau1[[#This Row],[N facture]],Tableau134[Montant encaissé])</f>
        <v>0</v>
      </c>
      <c r="H16" s="17">
        <f>Tableau1[[#This Row],[Montant facturé]]-Tableau1[[#This Row],[Montant encaissé]]</f>
        <v>0</v>
      </c>
      <c r="I16" s="19" t="str">
        <f>IF(Tableau1[[#This Row],[Date d''émission]]="","",Tableau1[[#This Row],[Date d''émission]]+Tableau1[[#This Row],[Délai]])</f>
        <v/>
      </c>
      <c r="J16" s="7" t="str">
        <f ca="1">IF(Tableau1[[#This Row],[Solde]]&gt;0,Tableau1[[#This Row],[Échéance]]-TODAY(),"")</f>
        <v/>
      </c>
      <c r="K16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17" spans="2:11" x14ac:dyDescent="0.25">
      <c r="B17" s="10"/>
      <c r="C17" s="19"/>
      <c r="D17" s="7"/>
      <c r="E17" s="7"/>
      <c r="F17" s="17"/>
      <c r="G17" s="17">
        <f>SUMIF(Tableau134[N facture],Tableau1[[#This Row],[N facture]],Tableau134[Montant encaissé])</f>
        <v>0</v>
      </c>
      <c r="H17" s="17">
        <f>Tableau1[[#This Row],[Montant facturé]]-Tableau1[[#This Row],[Montant encaissé]]</f>
        <v>0</v>
      </c>
      <c r="I17" s="19" t="str">
        <f>IF(Tableau1[[#This Row],[Date d''émission]]="","",Tableau1[[#This Row],[Date d''émission]]+Tableau1[[#This Row],[Délai]])</f>
        <v/>
      </c>
      <c r="J17" s="7" t="str">
        <f ca="1">IF(Tableau1[[#This Row],[Solde]]&gt;0,Tableau1[[#This Row],[Échéance]]-TODAY(),"")</f>
        <v/>
      </c>
      <c r="K17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18" spans="2:11" x14ac:dyDescent="0.25">
      <c r="B18" s="10"/>
      <c r="C18" s="19"/>
      <c r="D18" s="7"/>
      <c r="E18" s="7"/>
      <c r="F18" s="17"/>
      <c r="G18" s="17">
        <f>SUMIF(Tableau134[N facture],Tableau1[[#This Row],[N facture]],Tableau134[Montant encaissé])</f>
        <v>0</v>
      </c>
      <c r="H18" s="17">
        <f>Tableau1[[#This Row],[Montant facturé]]-Tableau1[[#This Row],[Montant encaissé]]</f>
        <v>0</v>
      </c>
      <c r="I18" s="19" t="str">
        <f>IF(Tableau1[[#This Row],[Date d''émission]]="","",Tableau1[[#This Row],[Date d''émission]]+Tableau1[[#This Row],[Délai]])</f>
        <v/>
      </c>
      <c r="J18" s="7" t="str">
        <f ca="1">IF(Tableau1[[#This Row],[Solde]]&gt;0,Tableau1[[#This Row],[Échéance]]-TODAY(),"")</f>
        <v/>
      </c>
      <c r="K18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19" spans="2:11" x14ac:dyDescent="0.25">
      <c r="B19" s="10"/>
      <c r="C19" s="19"/>
      <c r="D19" s="7"/>
      <c r="E19" s="7"/>
      <c r="F19" s="17"/>
      <c r="G19" s="17">
        <f>SUMIF(Tableau134[N facture],Tableau1[[#This Row],[N facture]],Tableau134[Montant encaissé])</f>
        <v>0</v>
      </c>
      <c r="H19" s="17">
        <f>Tableau1[[#This Row],[Montant facturé]]-Tableau1[[#This Row],[Montant encaissé]]</f>
        <v>0</v>
      </c>
      <c r="I19" s="19" t="str">
        <f>IF(Tableau1[[#This Row],[Date d''émission]]="","",Tableau1[[#This Row],[Date d''émission]]+Tableau1[[#This Row],[Délai]])</f>
        <v/>
      </c>
      <c r="J19" s="7" t="str">
        <f ca="1">IF(Tableau1[[#This Row],[Solde]]&gt;0,Tableau1[[#This Row],[Échéance]]-TODAY(),"")</f>
        <v/>
      </c>
      <c r="K19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20" spans="2:11" x14ac:dyDescent="0.25">
      <c r="B20" s="10"/>
      <c r="C20" s="19"/>
      <c r="D20" s="7"/>
      <c r="E20" s="7"/>
      <c r="F20" s="17"/>
      <c r="G20" s="17">
        <f>SUMIF(Tableau134[N facture],Tableau1[[#This Row],[N facture]],Tableau134[Montant encaissé])</f>
        <v>0</v>
      </c>
      <c r="H20" s="17">
        <f>Tableau1[[#This Row],[Montant facturé]]-Tableau1[[#This Row],[Montant encaissé]]</f>
        <v>0</v>
      </c>
      <c r="I20" s="19" t="str">
        <f>IF(Tableau1[[#This Row],[Date d''émission]]="","",Tableau1[[#This Row],[Date d''émission]]+Tableau1[[#This Row],[Délai]])</f>
        <v/>
      </c>
      <c r="J20" s="7" t="str">
        <f ca="1">IF(Tableau1[[#This Row],[Solde]]&gt;0,Tableau1[[#This Row],[Échéance]]-TODAY(),"")</f>
        <v/>
      </c>
      <c r="K20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21" spans="2:11" x14ac:dyDescent="0.25">
      <c r="B21" s="10"/>
      <c r="C21" s="19"/>
      <c r="D21" s="7"/>
      <c r="E21" s="7"/>
      <c r="F21" s="17"/>
      <c r="G21" s="17">
        <f>SUMIF(Tableau134[N facture],Tableau1[[#This Row],[N facture]],Tableau134[Montant encaissé])</f>
        <v>0</v>
      </c>
      <c r="H21" s="17">
        <f>Tableau1[[#This Row],[Montant facturé]]-Tableau1[[#This Row],[Montant encaissé]]</f>
        <v>0</v>
      </c>
      <c r="I21" s="19" t="str">
        <f>IF(Tableau1[[#This Row],[Date d''émission]]="","",Tableau1[[#This Row],[Date d''émission]]+Tableau1[[#This Row],[Délai]])</f>
        <v/>
      </c>
      <c r="J21" s="7" t="str">
        <f ca="1">IF(Tableau1[[#This Row],[Solde]]&gt;0,Tableau1[[#This Row],[Échéance]]-TODAY(),"")</f>
        <v/>
      </c>
      <c r="K21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22" spans="2:11" x14ac:dyDescent="0.25">
      <c r="B22" s="10"/>
      <c r="C22" s="19"/>
      <c r="D22" s="7"/>
      <c r="E22" s="7"/>
      <c r="F22" s="17"/>
      <c r="G22" s="17">
        <f>SUMIF(Tableau134[N facture],Tableau1[[#This Row],[N facture]],Tableau134[Montant encaissé])</f>
        <v>0</v>
      </c>
      <c r="H22" s="17">
        <f>Tableau1[[#This Row],[Montant facturé]]-Tableau1[[#This Row],[Montant encaissé]]</f>
        <v>0</v>
      </c>
      <c r="I22" s="19" t="str">
        <f>IF(Tableau1[[#This Row],[Date d''émission]]="","",Tableau1[[#This Row],[Date d''émission]]+Tableau1[[#This Row],[Délai]])</f>
        <v/>
      </c>
      <c r="J22" s="7" t="str">
        <f ca="1">IF(Tableau1[[#This Row],[Solde]]&gt;0,Tableau1[[#This Row],[Échéance]]-TODAY(),"")</f>
        <v/>
      </c>
      <c r="K22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23" spans="2:11" x14ac:dyDescent="0.25">
      <c r="B23" s="10"/>
      <c r="C23" s="19"/>
      <c r="D23" s="7"/>
      <c r="E23" s="7"/>
      <c r="F23" s="17"/>
      <c r="G23" s="17">
        <f>SUMIF(Tableau134[N facture],Tableau1[[#This Row],[N facture]],Tableau134[Montant encaissé])</f>
        <v>0</v>
      </c>
      <c r="H23" s="17">
        <f>Tableau1[[#This Row],[Montant facturé]]-Tableau1[[#This Row],[Montant encaissé]]</f>
        <v>0</v>
      </c>
      <c r="I23" s="19" t="str">
        <f>IF(Tableau1[[#This Row],[Date d''émission]]="","",Tableau1[[#This Row],[Date d''émission]]+Tableau1[[#This Row],[Délai]])</f>
        <v/>
      </c>
      <c r="J23" s="7" t="str">
        <f ca="1">IF(Tableau1[[#This Row],[Solde]]&gt;0,Tableau1[[#This Row],[Échéance]]-TODAY(),"")</f>
        <v/>
      </c>
      <c r="K23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24" spans="2:11" x14ac:dyDescent="0.25">
      <c r="B24" s="10"/>
      <c r="C24" s="19"/>
      <c r="D24" s="7"/>
      <c r="E24" s="7"/>
      <c r="F24" s="17"/>
      <c r="G24" s="17">
        <f>SUMIF(Tableau134[N facture],Tableau1[[#This Row],[N facture]],Tableau134[Montant encaissé])</f>
        <v>0</v>
      </c>
      <c r="H24" s="17">
        <f>Tableau1[[#This Row],[Montant facturé]]-Tableau1[[#This Row],[Montant encaissé]]</f>
        <v>0</v>
      </c>
      <c r="I24" s="19" t="str">
        <f>IF(Tableau1[[#This Row],[Date d''émission]]="","",Tableau1[[#This Row],[Date d''émission]]+Tableau1[[#This Row],[Délai]])</f>
        <v/>
      </c>
      <c r="J24" s="7" t="str">
        <f ca="1">IF(Tableau1[[#This Row],[Solde]]&gt;0,Tableau1[[#This Row],[Échéance]]-TODAY(),"")</f>
        <v/>
      </c>
      <c r="K24" s="13" t="str">
        <f>IF(Tableau1[[#This Row],[N facture]]="","",IF(Tableau1[[#This Row],[Solde]]=0,"payé",IF(Tableau1[[#This Row],[Retard]]&gt;0,"Impayé dans le délai",IF(Tableau1[[#This Row],[Retard]]&lt;0,"Facture Impayé"))))</f>
        <v/>
      </c>
    </row>
    <row r="25" spans="2:11" x14ac:dyDescent="0.25">
      <c r="B25" s="11"/>
      <c r="C25" s="20"/>
      <c r="D25" s="12"/>
      <c r="E25" s="12"/>
      <c r="F25" s="18"/>
      <c r="G25" s="17">
        <f>SUMIF(Tableau134[N facture],Tableau1[[#This Row],[N facture]],Tableau134[Montant encaissé])</f>
        <v>0</v>
      </c>
      <c r="H25" s="18">
        <f>Tableau1[[#This Row],[Montant facturé]]-Tableau1[[#This Row],[Montant encaissé]]</f>
        <v>0</v>
      </c>
      <c r="I25" s="20" t="str">
        <f>IF(Tableau1[[#This Row],[Date d''émission]]="","",Tableau1[[#This Row],[Date d''émission]]+Tableau1[[#This Row],[Délai]])</f>
        <v/>
      </c>
      <c r="J25" s="12" t="str">
        <f ca="1">IF(Tableau1[[#This Row],[Solde]]&gt;0,Tableau1[[#This Row],[Échéance]]-TODAY(),"")</f>
        <v/>
      </c>
      <c r="K25" s="14" t="str">
        <f>IF(Tableau1[[#This Row],[N facture]]="","",IF(Tableau1[[#This Row],[Solde]]=0,"payé",IF(Tableau1[[#This Row],[Retard]]&gt;0,"Impayé dans le délai",IF(Tableau1[[#This Row],[Retard]]&lt;0,"Facture Impayé"))))</f>
        <v/>
      </c>
    </row>
  </sheetData>
  <mergeCells count="1">
    <mergeCell ref="A1:L2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D19D079-5CE7-478C-B927-3788F845CF51}">
          <x14:formula1>
            <xm:f>'bdd client'!$B$11:$B$20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BAD02-C77C-497D-943B-845A74B68FD0}">
  <dimension ref="A1:L16"/>
  <sheetViews>
    <sheetView showGridLines="0" workbookViewId="0">
      <selection activeCell="H7" sqref="H7"/>
    </sheetView>
  </sheetViews>
  <sheetFormatPr baseColWidth="10" defaultColWidth="9.140625" defaultRowHeight="15" x14ac:dyDescent="0.25"/>
  <cols>
    <col min="1" max="1" width="5" style="1" customWidth="1"/>
    <col min="2" max="2" width="14.140625" style="1" customWidth="1"/>
    <col min="3" max="3" width="17.5703125" style="1" bestFit="1" customWidth="1"/>
    <col min="4" max="4" width="22" style="1" bestFit="1" customWidth="1"/>
    <col min="5" max="5" width="15.28515625" style="1" customWidth="1"/>
    <col min="6" max="6" width="19.7109375" style="1" bestFit="1" customWidth="1"/>
    <col min="7" max="7" width="20.42578125" style="1" bestFit="1" customWidth="1"/>
    <col min="8" max="10" width="11.5703125" style="1" customWidth="1"/>
    <col min="11" max="11" width="12.5703125" style="1" customWidth="1"/>
    <col min="12" max="12" width="9.140625" style="1"/>
  </cols>
  <sheetData>
    <row r="1" spans="1:12" x14ac:dyDescent="0.2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6" spans="1:12" x14ac:dyDescent="0.25">
      <c r="B6" s="9" t="s">
        <v>11</v>
      </c>
      <c r="C6" s="22"/>
      <c r="F6" s="9" t="s">
        <v>12</v>
      </c>
      <c r="G6" s="21">
        <f ca="1">TODAY()</f>
        <v>45917</v>
      </c>
    </row>
    <row r="7" spans="1:12" x14ac:dyDescent="0.25">
      <c r="B7" s="9" t="s">
        <v>3</v>
      </c>
      <c r="C7" s="22" t="str">
        <f>IFERROR(VLOOKUP(C6,Tableau1[],3,0),"")</f>
        <v/>
      </c>
      <c r="F7" s="9" t="s">
        <v>13</v>
      </c>
      <c r="G7" s="22"/>
    </row>
    <row r="8" spans="1:12" x14ac:dyDescent="0.25">
      <c r="B8" s="9" t="s">
        <v>7</v>
      </c>
      <c r="C8" s="23" t="str">
        <f>IFERROR(VLOOKUP(C6,Tableau1[],7,0),"")</f>
        <v/>
      </c>
      <c r="F8" s="9" t="s">
        <v>6</v>
      </c>
      <c r="G8" s="23"/>
    </row>
    <row r="9" spans="1:12" x14ac:dyDescent="0.25">
      <c r="B9" s="9" t="s">
        <v>4</v>
      </c>
      <c r="C9" s="22" t="str">
        <f>IFERROR(VLOOKUP(C6,Tableau1[],4,0),"")</f>
        <v/>
      </c>
      <c r="F9" s="9" t="s">
        <v>14</v>
      </c>
      <c r="G9" s="22"/>
    </row>
    <row r="13" spans="1:12" x14ac:dyDescent="0.25">
      <c r="B13" s="2" t="s">
        <v>1</v>
      </c>
      <c r="C13" s="3" t="s">
        <v>3</v>
      </c>
      <c r="D13" s="3" t="s">
        <v>12</v>
      </c>
      <c r="E13" s="3" t="s">
        <v>13</v>
      </c>
      <c r="F13" s="3" t="s">
        <v>6</v>
      </c>
      <c r="G13" s="3" t="s">
        <v>14</v>
      </c>
    </row>
    <row r="14" spans="1:12" x14ac:dyDescent="0.25">
      <c r="B14" s="10" t="s">
        <v>30</v>
      </c>
      <c r="C14" s="7" t="s">
        <v>22</v>
      </c>
      <c r="D14" s="19">
        <v>45917</v>
      </c>
      <c r="E14" s="7" t="s">
        <v>34</v>
      </c>
      <c r="F14" s="24">
        <v>40000</v>
      </c>
      <c r="G14" s="7" t="s">
        <v>35</v>
      </c>
    </row>
    <row r="15" spans="1:12" x14ac:dyDescent="0.25">
      <c r="B15" s="10" t="s">
        <v>29</v>
      </c>
      <c r="C15" s="7" t="s">
        <v>19</v>
      </c>
      <c r="D15" s="19">
        <v>45917</v>
      </c>
      <c r="E15" s="7"/>
      <c r="F15" s="24"/>
      <c r="G15" s="7"/>
    </row>
    <row r="16" spans="1:12" x14ac:dyDescent="0.25">
      <c r="B16" s="10" t="s">
        <v>28</v>
      </c>
      <c r="C16" s="7" t="s">
        <v>18</v>
      </c>
      <c r="D16" s="19">
        <v>45917</v>
      </c>
      <c r="E16" s="7" t="s">
        <v>32</v>
      </c>
      <c r="F16" s="24">
        <v>10000</v>
      </c>
      <c r="G16" s="7" t="s">
        <v>33</v>
      </c>
    </row>
  </sheetData>
  <mergeCells count="1">
    <mergeCell ref="A1:L2"/>
  </mergeCells>
  <dataValidations count="1">
    <dataValidation type="list" allowBlank="1" showInputMessage="1" showErrorMessage="1" sqref="G9" xr:uid="{F7CE8BD1-70F1-4ADD-A485-532A867C6747}">
      <formula1>"chèque,virement,espèce"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DB02C-F977-4A88-B888-7E745E126D52}">
  <dimension ref="A1:L21"/>
  <sheetViews>
    <sheetView showGridLines="0" workbookViewId="0">
      <selection activeCell="B11" sqref="B11:B20"/>
    </sheetView>
  </sheetViews>
  <sheetFormatPr baseColWidth="10" defaultColWidth="9.140625" defaultRowHeight="15" x14ac:dyDescent="0.25"/>
  <cols>
    <col min="1" max="1" width="5" style="1" customWidth="1"/>
    <col min="2" max="2" width="11.5703125" style="1" customWidth="1"/>
    <col min="3" max="3" width="17.5703125" style="1" bestFit="1" customWidth="1"/>
    <col min="4" max="4" width="11.5703125" style="1" customWidth="1"/>
    <col min="5" max="5" width="15.28515625" style="1" customWidth="1"/>
    <col min="6" max="6" width="17.7109375" style="1" bestFit="1" customWidth="1"/>
    <col min="7" max="7" width="19.140625" style="1" bestFit="1" customWidth="1"/>
    <col min="8" max="10" width="11.5703125" style="1" customWidth="1"/>
    <col min="11" max="11" width="12.5703125" style="1" customWidth="1"/>
    <col min="12" max="12" width="9.140625" style="1"/>
  </cols>
  <sheetData>
    <row r="1" spans="1:12" x14ac:dyDescent="0.2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5" spans="1:12" x14ac:dyDescent="0.25">
      <c r="B5" s="9"/>
    </row>
    <row r="6" spans="1:12" x14ac:dyDescent="0.25">
      <c r="B6" s="9"/>
    </row>
    <row r="10" spans="1:12" x14ac:dyDescent="0.25">
      <c r="B10" s="2" t="s">
        <v>3</v>
      </c>
      <c r="C10" s="3" t="s">
        <v>15</v>
      </c>
      <c r="D10" s="3" t="s">
        <v>16</v>
      </c>
      <c r="E10" s="3" t="s">
        <v>17</v>
      </c>
    </row>
    <row r="11" spans="1:12" x14ac:dyDescent="0.25">
      <c r="B11" s="10" t="s">
        <v>18</v>
      </c>
      <c r="C11" s="7"/>
      <c r="D11" s="7"/>
      <c r="E11" s="7"/>
    </row>
    <row r="12" spans="1:12" x14ac:dyDescent="0.25">
      <c r="B12" s="10" t="s">
        <v>19</v>
      </c>
      <c r="C12" s="7"/>
      <c r="D12" s="7"/>
      <c r="E12" s="7"/>
    </row>
    <row r="13" spans="1:12" x14ac:dyDescent="0.25">
      <c r="B13" s="10" t="s">
        <v>20</v>
      </c>
      <c r="C13" s="7"/>
      <c r="D13" s="7"/>
      <c r="E13" s="7"/>
    </row>
    <row r="14" spans="1:12" x14ac:dyDescent="0.25">
      <c r="B14" s="10" t="s">
        <v>21</v>
      </c>
      <c r="C14" s="7"/>
      <c r="D14" s="7"/>
      <c r="E14" s="7"/>
    </row>
    <row r="15" spans="1:12" x14ac:dyDescent="0.25">
      <c r="B15" s="10" t="s">
        <v>22</v>
      </c>
      <c r="C15" s="7"/>
      <c r="D15" s="7"/>
      <c r="E15" s="7"/>
    </row>
    <row r="16" spans="1:12" x14ac:dyDescent="0.25">
      <c r="B16" s="10" t="s">
        <v>23</v>
      </c>
      <c r="C16" s="7"/>
      <c r="D16" s="7"/>
      <c r="E16" s="7"/>
    </row>
    <row r="17" spans="2:5" x14ac:dyDescent="0.25">
      <c r="B17" s="10" t="s">
        <v>24</v>
      </c>
      <c r="C17" s="7"/>
      <c r="D17" s="7"/>
      <c r="E17" s="7"/>
    </row>
    <row r="18" spans="2:5" x14ac:dyDescent="0.25">
      <c r="B18" s="10" t="s">
        <v>25</v>
      </c>
      <c r="C18" s="7"/>
      <c r="D18" s="7"/>
      <c r="E18" s="7"/>
    </row>
    <row r="19" spans="2:5" x14ac:dyDescent="0.25">
      <c r="B19" s="10" t="s">
        <v>26</v>
      </c>
      <c r="C19" s="7"/>
      <c r="D19" s="7"/>
      <c r="E19" s="7"/>
    </row>
    <row r="20" spans="2:5" x14ac:dyDescent="0.25">
      <c r="B20" s="10" t="s">
        <v>27</v>
      </c>
      <c r="C20" s="7"/>
      <c r="D20" s="7"/>
      <c r="E20" s="7"/>
    </row>
    <row r="21" spans="2:5" x14ac:dyDescent="0.25">
      <c r="B21" s="5"/>
      <c r="C21" s="6"/>
      <c r="D21" s="6"/>
      <c r="E21" s="6"/>
    </row>
  </sheetData>
  <mergeCells count="1">
    <mergeCell ref="A1:L2"/>
  </mergeCells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554EB-8A29-48FC-8529-881A01D4F17D}">
  <dimension ref="A1:L6"/>
  <sheetViews>
    <sheetView showGridLines="0" workbookViewId="0">
      <selection activeCell="I9" sqref="I9:L21"/>
    </sheetView>
  </sheetViews>
  <sheetFormatPr baseColWidth="10" defaultColWidth="9.140625" defaultRowHeight="15" x14ac:dyDescent="0.25"/>
  <cols>
    <col min="1" max="1" width="5" style="1" customWidth="1"/>
    <col min="2" max="2" width="11.5703125" style="1" customWidth="1"/>
    <col min="3" max="3" width="17.5703125" style="1" bestFit="1" customWidth="1"/>
    <col min="4" max="4" width="11.5703125" style="1" customWidth="1"/>
    <col min="5" max="5" width="15.28515625" style="1" customWidth="1"/>
    <col min="6" max="6" width="17.7109375" style="1" bestFit="1" customWidth="1"/>
    <col min="7" max="7" width="19.140625" style="1" bestFit="1" customWidth="1"/>
    <col min="8" max="10" width="11.5703125" style="1" customWidth="1"/>
    <col min="11" max="11" width="12.5703125" style="1" customWidth="1"/>
    <col min="12" max="12" width="9.140625" style="1"/>
  </cols>
  <sheetData>
    <row r="1" spans="1:12" x14ac:dyDescent="0.2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5" spans="1:12" x14ac:dyDescent="0.25">
      <c r="B5" s="9"/>
    </row>
    <row r="6" spans="1:12" x14ac:dyDescent="0.25">
      <c r="B6" s="9"/>
    </row>
  </sheetData>
  <mergeCells count="1">
    <mergeCell ref="A1:L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AB23E-EF95-4897-8814-FAD211EC8C37}">
  <dimension ref="A1:L6"/>
  <sheetViews>
    <sheetView showGridLines="0" workbookViewId="0">
      <selection sqref="A1:L2"/>
    </sheetView>
  </sheetViews>
  <sheetFormatPr baseColWidth="10" defaultColWidth="9.140625" defaultRowHeight="15" x14ac:dyDescent="0.25"/>
  <cols>
    <col min="1" max="1" width="5" style="1" customWidth="1"/>
    <col min="2" max="2" width="11.5703125" style="1" customWidth="1"/>
    <col min="3" max="3" width="17.5703125" style="1" bestFit="1" customWidth="1"/>
    <col min="4" max="4" width="11.5703125" style="1" customWidth="1"/>
    <col min="5" max="5" width="15.28515625" style="1" customWidth="1"/>
    <col min="6" max="6" width="17.7109375" style="1" bestFit="1" customWidth="1"/>
    <col min="7" max="7" width="19.140625" style="1" bestFit="1" customWidth="1"/>
    <col min="8" max="10" width="11.5703125" style="1" customWidth="1"/>
    <col min="11" max="11" width="12.5703125" style="1" customWidth="1"/>
    <col min="12" max="12" width="9.140625" style="1"/>
  </cols>
  <sheetData>
    <row r="1" spans="1:12" x14ac:dyDescent="0.2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1:12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</row>
    <row r="5" spans="1:12" x14ac:dyDescent="0.25">
      <c r="B5" s="9"/>
    </row>
    <row r="6" spans="1:12" x14ac:dyDescent="0.25">
      <c r="B6" s="9"/>
    </row>
  </sheetData>
  <mergeCells count="1">
    <mergeCell ref="A1:L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Créance</vt:lpstr>
      <vt:lpstr>Reglement</vt:lpstr>
      <vt:lpstr>bdd client</vt:lpstr>
      <vt:lpstr>rapport</vt:lpstr>
      <vt:lpstr>TDB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samy baba</cp:lastModifiedBy>
  <dcterms:created xsi:type="dcterms:W3CDTF">2015-06-05T18:17:20Z</dcterms:created>
  <dcterms:modified xsi:type="dcterms:W3CDTF">2025-09-17T15:19:25Z</dcterms:modified>
</cp:coreProperties>
</file>
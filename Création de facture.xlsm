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OneDrive\Desktop\CV &amp; Certification &amp; Projects\Excel projects\Aymen Excel\"/>
    </mc:Choice>
  </mc:AlternateContent>
  <xr:revisionPtr revIDLastSave="0" documentId="13_ncr:1_{CDB0603D-CA49-41E9-A6BE-375E3262F6C1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FACTURE" sheetId="1" r:id="rId1"/>
    <sheet name="BDD" sheetId="2" r:id="rId2"/>
    <sheet name="Lien Hypertexte" sheetId="3" r:id="rId3"/>
  </sheets>
  <functionGroups builtInGroupCount="19"/>
  <definedNames>
    <definedName name="ARTICLE">Tableau2[#All]</definedName>
    <definedName name="CLIENT">Tableau1[#All]</definedName>
    <definedName name="MODE">Tableau3[[#All],[MODE DE PAIEMENT]]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1" i="1" l="1"/>
  <c r="B6" i="1" s="1"/>
  <c r="E14" i="1"/>
  <c r="F14" i="1" s="1"/>
  <c r="E15" i="1"/>
  <c r="F15" i="1" s="1"/>
  <c r="E16" i="1"/>
  <c r="F16" i="1" s="1"/>
  <c r="E17" i="1"/>
  <c r="F17" i="1" s="1"/>
  <c r="E18" i="1"/>
  <c r="F18" i="1" s="1"/>
  <c r="E19" i="1"/>
  <c r="F19" i="1" s="1"/>
  <c r="E20" i="1"/>
  <c r="F20" i="1" s="1"/>
  <c r="E21" i="1"/>
  <c r="F21" i="1" s="1"/>
  <c r="E22" i="1"/>
  <c r="F22" i="1" s="1"/>
  <c r="E23" i="1"/>
  <c r="F23" i="1" s="1"/>
  <c r="E24" i="1"/>
  <c r="F24" i="1" s="1"/>
  <c r="E25" i="1"/>
  <c r="F25" i="1" s="1"/>
  <c r="E26" i="1"/>
  <c r="F26" i="1" s="1"/>
  <c r="E27" i="1"/>
  <c r="F27" i="1" s="1"/>
  <c r="E28" i="1"/>
  <c r="F28" i="1" s="1"/>
  <c r="E29" i="1"/>
  <c r="F29" i="1" s="1"/>
  <c r="E30" i="1"/>
  <c r="F30" i="1" s="1"/>
  <c r="E31" i="1"/>
  <c r="F31" i="1" s="1"/>
  <c r="E32" i="1"/>
  <c r="F32" i="1" s="1"/>
  <c r="E33" i="1"/>
  <c r="F33" i="1" s="1"/>
  <c r="E34" i="1"/>
  <c r="F34" i="1" s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13" i="1"/>
  <c r="E13" i="1"/>
  <c r="F13" i="1" s="1"/>
  <c r="E9" i="1"/>
  <c r="E8" i="1"/>
  <c r="E7" i="1"/>
  <c r="F7" i="1"/>
  <c r="C17" i="2"/>
  <c r="F4" i="1"/>
  <c r="F36" i="1" l="1"/>
  <c r="F37" i="1" s="1"/>
  <c r="F38" i="1" s="1"/>
  <c r="B41" i="1"/>
</calcChain>
</file>

<file path=xl/sharedStrings.xml><?xml version="1.0" encoding="utf-8"?>
<sst xmlns="http://schemas.openxmlformats.org/spreadsheetml/2006/main" count="70" uniqueCount="64">
  <si>
    <t>CODE :</t>
  </si>
  <si>
    <t>NIF :</t>
  </si>
  <si>
    <t xml:space="preserve">NIS : </t>
  </si>
  <si>
    <t xml:space="preserve">RC : </t>
  </si>
  <si>
    <t>CLIENT :</t>
  </si>
  <si>
    <t>Mode de paiement :</t>
  </si>
  <si>
    <t>CODE</t>
  </si>
  <si>
    <t>CLIENT</t>
  </si>
  <si>
    <t>RC</t>
  </si>
  <si>
    <t>NIF</t>
  </si>
  <si>
    <t>NIS</t>
  </si>
  <si>
    <t>Désignation</t>
  </si>
  <si>
    <t>P/UNITAIRE</t>
  </si>
  <si>
    <t>MODE DE PAIEMENT</t>
  </si>
  <si>
    <t>CLT001</t>
  </si>
  <si>
    <t>SIDALI 01</t>
  </si>
  <si>
    <t>ART001</t>
  </si>
  <si>
    <t xml:space="preserve"> Espéce</t>
  </si>
  <si>
    <t>CLT002</t>
  </si>
  <si>
    <t>SIDALI 02</t>
  </si>
  <si>
    <t>ART002</t>
  </si>
  <si>
    <t xml:space="preserve">virmenet </t>
  </si>
  <si>
    <t>CLT003</t>
  </si>
  <si>
    <t>SIDALI 03</t>
  </si>
  <si>
    <t>ART003</t>
  </si>
  <si>
    <t>chéque</t>
  </si>
  <si>
    <t>CLT004</t>
  </si>
  <si>
    <t>SIDALI 04</t>
  </si>
  <si>
    <t>ART004</t>
  </si>
  <si>
    <t>CLT005</t>
  </si>
  <si>
    <t>SIDALI 05</t>
  </si>
  <si>
    <t>ART005</t>
  </si>
  <si>
    <t>CLT006</t>
  </si>
  <si>
    <t>SIDALI 06</t>
  </si>
  <si>
    <t>ART006</t>
  </si>
  <si>
    <t>CLT007</t>
  </si>
  <si>
    <t>SIDALI 07</t>
  </si>
  <si>
    <t>ART007</t>
  </si>
  <si>
    <t>CLT008</t>
  </si>
  <si>
    <t>SIDALI 08</t>
  </si>
  <si>
    <t>ART008</t>
  </si>
  <si>
    <t>CLT009</t>
  </si>
  <si>
    <t>SIDALI 09</t>
  </si>
  <si>
    <t>ART009</t>
  </si>
  <si>
    <t>CLT010</t>
  </si>
  <si>
    <t>SIDALI 10</t>
  </si>
  <si>
    <t>ART010</t>
  </si>
  <si>
    <t>CLT011</t>
  </si>
  <si>
    <t>SIDALI 11</t>
  </si>
  <si>
    <t>ART011</t>
  </si>
  <si>
    <t>CLT012</t>
  </si>
  <si>
    <t>SIDALI 12</t>
  </si>
  <si>
    <t>ART012</t>
  </si>
  <si>
    <t>Alger, le :</t>
  </si>
  <si>
    <t>N°</t>
  </si>
  <si>
    <t>Quantité</t>
  </si>
  <si>
    <t>Prix</t>
  </si>
  <si>
    <t>Montant</t>
  </si>
  <si>
    <t>TVA</t>
  </si>
  <si>
    <t>TTC</t>
  </si>
  <si>
    <t>MONTANT HT</t>
  </si>
  <si>
    <t>Samy Samy</t>
  </si>
  <si>
    <t>Algiers, Algeria</t>
  </si>
  <si>
    <t>Tél: 0799999999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</si>
</sst>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.00\ _د_._ج_._‏_-;\-* #,##0.00\ _د_._ج_._‏_-;_-* &quot;-&quot;??\ _د_._ج_._‏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9">
    <xf numFmtId="0" fontId="0" fillId="0" borderId="0" xfId="0"/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0" xfId="0" applyFont="1"/>
    <xf numFmtId="0" fontId="6" fillId="0" borderId="0" xfId="0" applyFont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3" fillId="0" borderId="0" xfId="0" applyFont="1" applyAlignment="1">
      <alignment horizontal="right"/>
    </xf>
    <xf numFmtId="0" fontId="3" fillId="0" borderId="6" xfId="0" applyFont="1" applyBorder="1" applyAlignment="1">
      <alignment horizontal="center"/>
    </xf>
    <xf numFmtId="0" fontId="0" fillId="0" borderId="6" xfId="0" applyBorder="1"/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14" fontId="3" fillId="0" borderId="0" xfId="0" applyNumberFormat="1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7" xfId="0" applyFont="1" applyBorder="1" applyAlignment="1">
      <alignment horizontal="right"/>
    </xf>
    <xf numFmtId="0" fontId="0" fillId="3" borderId="2" xfId="0" applyFill="1" applyBorder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0" fillId="0" borderId="1" xfId="0" applyBorder="1"/>
    <xf numFmtId="43" fontId="0" fillId="0" borderId="1" xfId="1" applyFont="1" applyBorder="1"/>
    <xf numFmtId="2" fontId="2" fillId="2" borderId="0" xfId="0" applyNumberFormat="1" applyFont="1" applyFill="1" applyAlignment="1">
      <alignment horizontal="center"/>
    </xf>
    <xf numFmtId="0" fontId="2" fillId="2" borderId="0" xfId="0" applyFont="1" applyFill="1"/>
    <xf numFmtId="0" fontId="0" fillId="0" borderId="8" xfId="0" applyBorder="1" applyAlignment="1">
      <alignment horizontal="center"/>
    </xf>
    <xf numFmtId="43" fontId="0" fillId="0" borderId="5" xfId="1" applyFont="1" applyBorder="1"/>
    <xf numFmtId="164" fontId="0" fillId="0" borderId="5" xfId="0" applyNumberFormat="1" applyBorder="1"/>
    <xf numFmtId="164" fontId="0" fillId="0" borderId="6" xfId="0" applyNumberFormat="1" applyBorder="1"/>
    <xf numFmtId="0" fontId="4" fillId="3" borderId="7" xfId="0" applyFont="1" applyFill="1" applyBorder="1" applyAlignment="1">
      <alignment horizontal="right"/>
    </xf>
    <xf numFmtId="164" fontId="7" fillId="3" borderId="6" xfId="0" applyNumberFormat="1" applyFont="1" applyFill="1" applyBorder="1"/>
    <xf numFmtId="0" fontId="5" fillId="0" borderId="0" xfId="0" applyFont="1" applyAlignment="1">
      <alignment horizontal="left" vertical="center"/>
    </xf>
  </cellXfs>
  <cellStyles count="2">
    <cellStyle name="Milliers" xfId="1" builtinId="3"/>
    <cellStyle name="Normal" xfId="0" builtinId="0"/>
  </cellStyles>
  <dxfs count="15">
    <dxf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pin" dx="22" fmlaLink="$H$10" max="30000" min="1" page="10" val="3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BDD!A1"/><Relationship Id="rId1" Type="http://schemas.openxmlformats.org/officeDocument/2006/relationships/hyperlink" Target="#FACTUR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19049</xdr:rowOff>
    </xdr:from>
    <xdr:to>
      <xdr:col>6</xdr:col>
      <xdr:colOff>0</xdr:colOff>
      <xdr:row>9</xdr:row>
      <xdr:rowOff>19049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9328273D-3113-BD38-88A9-65F95F1C8890}"/>
            </a:ext>
          </a:extLst>
        </xdr:cNvPr>
        <xdr:cNvSpPr/>
      </xdr:nvSpPr>
      <xdr:spPr>
        <a:xfrm>
          <a:off x="4152900" y="971549"/>
          <a:ext cx="4248150" cy="866775"/>
        </a:xfrm>
        <a:prstGeom prst="roundRect">
          <a:avLst>
            <a:gd name="adj" fmla="val 3480"/>
          </a:avLst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409574</xdr:colOff>
      <xdr:row>11</xdr:row>
      <xdr:rowOff>9525</xdr:rowOff>
    </xdr:from>
    <xdr:to>
      <xdr:col>6</xdr:col>
      <xdr:colOff>0</xdr:colOff>
      <xdr:row>33</xdr:row>
      <xdr:rowOff>180974</xdr:rowOff>
    </xdr:to>
    <xdr:sp macro="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17F5EB7-E927-B8E1-23C1-A7C4F29B96F8}"/>
            </a:ext>
          </a:extLst>
        </xdr:cNvPr>
        <xdr:cNvSpPr/>
      </xdr:nvSpPr>
      <xdr:spPr>
        <a:xfrm>
          <a:off x="409574" y="2209800"/>
          <a:ext cx="7991476" cy="4505324"/>
        </a:xfrm>
        <a:prstGeom prst="roundRect">
          <a:avLst>
            <a:gd name="adj" fmla="val 1601"/>
          </a:avLst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0</xdr:colOff>
      <xdr:row>35</xdr:row>
      <xdr:rowOff>9525</xdr:rowOff>
    </xdr:from>
    <xdr:to>
      <xdr:col>6</xdr:col>
      <xdr:colOff>0</xdr:colOff>
      <xdr:row>39</xdr:row>
      <xdr:rowOff>0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C114FE2-1FE8-D643-8A3B-C27936D0D3C8}"/>
            </a:ext>
          </a:extLst>
        </xdr:cNvPr>
        <xdr:cNvSpPr/>
      </xdr:nvSpPr>
      <xdr:spPr>
        <a:xfrm>
          <a:off x="4762500" y="6924675"/>
          <a:ext cx="3638550" cy="752475"/>
        </a:xfrm>
        <a:prstGeom prst="roundRect">
          <a:avLst>
            <a:gd name="adj" fmla="val 5275"/>
          </a:avLst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9525</xdr:colOff>
      <xdr:row>40</xdr:row>
      <xdr:rowOff>76200</xdr:rowOff>
    </xdr:from>
    <xdr:to>
      <xdr:col>5</xdr:col>
      <xdr:colOff>2238375</xdr:colOff>
      <xdr:row>43</xdr:row>
      <xdr:rowOff>19050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3A8F6C89-62C3-304D-85A4-A975E809A350}"/>
            </a:ext>
          </a:extLst>
        </xdr:cNvPr>
        <xdr:cNvSpPr/>
      </xdr:nvSpPr>
      <xdr:spPr>
        <a:xfrm>
          <a:off x="428625" y="7953375"/>
          <a:ext cx="7962900" cy="5143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1</xdr:row>
          <xdr:rowOff>123825</xdr:rowOff>
        </xdr:from>
        <xdr:to>
          <xdr:col>8</xdr:col>
          <xdr:colOff>419100</xdr:colOff>
          <xdr:row>7</xdr:row>
          <xdr:rowOff>133350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2</xdr:row>
      <xdr:rowOff>19050</xdr:rowOff>
    </xdr:from>
    <xdr:to>
      <xdr:col>15</xdr:col>
      <xdr:colOff>123825</xdr:colOff>
      <xdr:row>11</xdr:row>
      <xdr:rowOff>57150</xdr:rowOff>
    </xdr:to>
    <xdr:sp macro="" textlink="">
      <xdr:nvSpPr>
        <xdr:cNvPr id="3" name="Rectangle : avec coins rognés en hau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A3404E-FD40-4587-C843-F20007299AA3}"/>
            </a:ext>
          </a:extLst>
        </xdr:cNvPr>
        <xdr:cNvSpPr/>
      </xdr:nvSpPr>
      <xdr:spPr>
        <a:xfrm>
          <a:off x="895350" y="400050"/>
          <a:ext cx="10658475" cy="1752600"/>
        </a:xfrm>
        <a:prstGeom prst="snip2Same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2000"/>
            <a:t>FACTURE</a:t>
          </a:r>
          <a:r>
            <a:rPr lang="fr-FR" sz="2000" baseline="0"/>
            <a:t> GENERALE</a:t>
          </a:r>
        </a:p>
        <a:p>
          <a:pPr algn="l"/>
          <a:endParaRPr lang="fr-FR" sz="1100"/>
        </a:p>
      </xdr:txBody>
    </xdr:sp>
    <xdr:clientData/>
  </xdr:twoCellAnchor>
  <xdr:twoCellAnchor>
    <xdr:from>
      <xdr:col>5</xdr:col>
      <xdr:colOff>104775</xdr:colOff>
      <xdr:row>14</xdr:row>
      <xdr:rowOff>85725</xdr:rowOff>
    </xdr:from>
    <xdr:to>
      <xdr:col>10</xdr:col>
      <xdr:colOff>552450</xdr:colOff>
      <xdr:row>21</xdr:row>
      <xdr:rowOff>66675</xdr:rowOff>
    </xdr:to>
    <xdr:sp macro="" textlink="">
      <xdr:nvSpPr>
        <xdr:cNvPr id="4" name="Ellips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CFAC9E0-3FB3-B471-A731-7954323E9CB6}"/>
            </a:ext>
          </a:extLst>
        </xdr:cNvPr>
        <xdr:cNvSpPr/>
      </xdr:nvSpPr>
      <xdr:spPr>
        <a:xfrm>
          <a:off x="3914775" y="2752725"/>
          <a:ext cx="4257675" cy="131445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/>
            <a:t>BDD</a:t>
          </a:r>
          <a:endParaRPr lang="fr-F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BB02D14-E3AB-4F8A-89A7-25BA0FEA6E5C}" name="Tableau1" displayName="Tableau1" ref="A2:E14" totalsRowShown="0" headerRowDxfId="14" dataDxfId="13" tableBorderDxfId="12">
  <autoFilter ref="A2:E14" xr:uid="{3BB02D14-E3AB-4F8A-89A7-25BA0FEA6E5C}"/>
  <tableColumns count="5">
    <tableColumn id="1" xr3:uid="{032FB6A8-9170-4589-9115-B13A3D960CC0}" name="CODE" dataDxfId="11"/>
    <tableColumn id="2" xr3:uid="{1D9FDFD2-0F05-4E7B-81B3-ECF9FC5E27FD}" name="CLIENT" dataDxfId="10"/>
    <tableColumn id="3" xr3:uid="{10FAA4E3-5287-4E58-8D8E-8F2CF777A31D}" name="RC" dataDxfId="9"/>
    <tableColumn id="4" xr3:uid="{9C174083-7520-4E5C-A7C8-05ADF8EE52DD}" name="NIF" dataDxfId="8"/>
    <tableColumn id="5" xr3:uid="{882BBC2C-B59C-40A3-82EE-122C9E7FFA1A}" name="NIS" dataDxfId="7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CB51E-A3E1-4A3E-994C-B51AC6E03BBB}" name="Tableau2" displayName="Tableau2" ref="G2:H14" totalsRowShown="0" headerRowDxfId="6" tableBorderDxfId="5">
  <autoFilter ref="G2:H14" xr:uid="{53FCB51E-A3E1-4A3E-994C-B51AC6E03BBB}"/>
  <tableColumns count="2">
    <tableColumn id="1" xr3:uid="{80B029BD-E7BF-40B6-A41B-C7F1CB1EB97A}" name="Désignation" dataDxfId="4"/>
    <tableColumn id="2" xr3:uid="{16B5E01A-4791-4F6D-9C1A-D5B01D525AF9}" name="P/UNITAIRE" dataDxfId="3" dataCellStyle="Milliers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A16FD8E-0E0D-44B5-A116-E35ADD552DB4}" name="Tableau3" displayName="Tableau3" ref="J2:J5" totalsRowShown="0" headerRowDxfId="2" tableBorderDxfId="1">
  <autoFilter ref="J2:J5" xr:uid="{AA16FD8E-0E0D-44B5-A116-E35ADD552DB4}"/>
  <tableColumns count="1">
    <tableColumn id="1" xr3:uid="{ACE95557-7920-42A2-A271-DF826F153400}" name="MODE DE PAIEMENT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H43"/>
  <sheetViews>
    <sheetView showGridLines="0" tabSelected="1" zoomScaleNormal="100" workbookViewId="0">
      <selection activeCell="C9" sqref="C9"/>
    </sheetView>
  </sheetViews>
  <sheetFormatPr baseColWidth="10" defaultColWidth="9.140625" defaultRowHeight="15" x14ac:dyDescent="0.25"/>
  <cols>
    <col min="1" max="1" width="6.28515625" customWidth="1"/>
    <col min="2" max="2" width="20.85546875" bestFit="1" customWidth="1"/>
    <col min="3" max="3" width="35.140625" customWidth="1"/>
    <col min="5" max="5" width="20.85546875" customWidth="1"/>
    <col min="6" max="6" width="33.7109375" customWidth="1"/>
  </cols>
  <sheetData>
    <row r="2" spans="2:8" x14ac:dyDescent="0.25">
      <c r="B2" s="3" t="s">
        <v>61</v>
      </c>
    </row>
    <row r="3" spans="2:8" x14ac:dyDescent="0.25">
      <c r="B3" s="3" t="s">
        <v>62</v>
      </c>
    </row>
    <row r="4" spans="2:8" x14ac:dyDescent="0.25">
      <c r="B4" s="14" t="s">
        <v>63</v>
      </c>
      <c r="E4" s="8" t="s">
        <v>53</v>
      </c>
      <c r="F4" s="13">
        <f ca="1">TODAY()</f>
        <v>45897</v>
      </c>
    </row>
    <row r="6" spans="2:8" ht="23.25" x14ac:dyDescent="0.35">
      <c r="B6" s="4" t="str">
        <f>"FAC24/"&amp;H11</f>
        <v>FAC24/0003</v>
      </c>
      <c r="D6" s="11" t="s">
        <v>0</v>
      </c>
      <c r="E6" s="9" t="s">
        <v>47</v>
      </c>
      <c r="F6" s="12" t="s">
        <v>4</v>
      </c>
    </row>
    <row r="7" spans="2:8" x14ac:dyDescent="0.25">
      <c r="D7" s="11" t="s">
        <v>1</v>
      </c>
      <c r="E7" s="9">
        <f>IFERROR(VLOOKUP(E6,CLIENT,4,0),"")</f>
        <v>2232</v>
      </c>
      <c r="F7" s="22" t="str">
        <f>IFERROR(VLOOKUP(E6,CLIENT,2,0),"")</f>
        <v>SIDALI 11</v>
      </c>
    </row>
    <row r="8" spans="2:8" x14ac:dyDescent="0.25">
      <c r="D8" s="11" t="s">
        <v>2</v>
      </c>
      <c r="E8" s="9">
        <f>IFERROR(VLOOKUP(E6,CLIENT,5,0),"")</f>
        <v>3343</v>
      </c>
      <c r="F8" s="12" t="s">
        <v>5</v>
      </c>
    </row>
    <row r="9" spans="2:8" x14ac:dyDescent="0.25">
      <c r="D9" s="11" t="s">
        <v>3</v>
      </c>
      <c r="E9" s="9">
        <f>IFERROR(VLOOKUP(E6,CLIENT,3,0),"")</f>
        <v>1121</v>
      </c>
      <c r="F9" s="22" t="s">
        <v>25</v>
      </c>
    </row>
    <row r="10" spans="2:8" x14ac:dyDescent="0.25">
      <c r="H10">
        <v>3</v>
      </c>
    </row>
    <row r="11" spans="2:8" x14ac:dyDescent="0.25">
      <c r="H11" t="str">
        <f>TEXT(H10,"0000")</f>
        <v>0003</v>
      </c>
    </row>
    <row r="12" spans="2:8" ht="26.25" customHeight="1" x14ac:dyDescent="0.25">
      <c r="B12" s="16" t="s">
        <v>54</v>
      </c>
      <c r="C12" s="16" t="s">
        <v>11</v>
      </c>
      <c r="D12" s="16" t="s">
        <v>55</v>
      </c>
      <c r="E12" s="16" t="s">
        <v>56</v>
      </c>
      <c r="F12" s="16" t="s">
        <v>57</v>
      </c>
    </row>
    <row r="13" spans="2:8" x14ac:dyDescent="0.25">
      <c r="B13" s="7">
        <f>IF(C13="","",ROW()-12)</f>
        <v>1</v>
      </c>
      <c r="C13" s="7" t="s">
        <v>16</v>
      </c>
      <c r="D13" s="7">
        <v>2</v>
      </c>
      <c r="E13" s="23">
        <f t="shared" ref="E13:E34" si="0">IFERROR(VLOOKUP(C13,ARTICLE,2,0),"")</f>
        <v>133379</v>
      </c>
      <c r="F13" s="24">
        <f>IFERROR(E13*D13,"")</f>
        <v>266758</v>
      </c>
    </row>
    <row r="14" spans="2:8" x14ac:dyDescent="0.25">
      <c r="B14" s="7">
        <f t="shared" ref="B14:B34" si="1">IF(C14="","",ROW()-12)</f>
        <v>2</v>
      </c>
      <c r="C14" s="5" t="s">
        <v>20</v>
      </c>
      <c r="D14" s="5">
        <v>4</v>
      </c>
      <c r="E14" s="23">
        <f t="shared" si="0"/>
        <v>109427</v>
      </c>
      <c r="F14" s="24">
        <f t="shared" ref="F14:F34" si="2">IFERROR(E14*D14,"")</f>
        <v>437708</v>
      </c>
    </row>
    <row r="15" spans="2:8" x14ac:dyDescent="0.25">
      <c r="B15" s="7">
        <f t="shared" si="1"/>
        <v>3</v>
      </c>
      <c r="C15" s="5" t="s">
        <v>24</v>
      </c>
      <c r="D15" s="5">
        <v>8</v>
      </c>
      <c r="E15" s="23">
        <f t="shared" si="0"/>
        <v>121575</v>
      </c>
      <c r="F15" s="24">
        <f t="shared" si="2"/>
        <v>972600</v>
      </c>
    </row>
    <row r="16" spans="2:8" x14ac:dyDescent="0.25">
      <c r="B16" s="7" t="str">
        <f t="shared" si="1"/>
        <v/>
      </c>
      <c r="C16" s="5"/>
      <c r="D16" s="5"/>
      <c r="E16" s="23" t="str">
        <f t="shared" si="0"/>
        <v/>
      </c>
      <c r="F16" s="24" t="str">
        <f t="shared" si="2"/>
        <v/>
      </c>
    </row>
    <row r="17" spans="2:6" x14ac:dyDescent="0.25">
      <c r="B17" s="7" t="str">
        <f t="shared" si="1"/>
        <v/>
      </c>
      <c r="C17" s="5"/>
      <c r="D17" s="5"/>
      <c r="E17" s="23" t="str">
        <f t="shared" si="0"/>
        <v/>
      </c>
      <c r="F17" s="24" t="str">
        <f t="shared" si="2"/>
        <v/>
      </c>
    </row>
    <row r="18" spans="2:6" x14ac:dyDescent="0.25">
      <c r="B18" s="7" t="str">
        <f t="shared" si="1"/>
        <v/>
      </c>
      <c r="C18" s="5"/>
      <c r="D18" s="5"/>
      <c r="E18" s="23" t="str">
        <f t="shared" si="0"/>
        <v/>
      </c>
      <c r="F18" s="24" t="str">
        <f t="shared" si="2"/>
        <v/>
      </c>
    </row>
    <row r="19" spans="2:6" x14ac:dyDescent="0.25">
      <c r="B19" s="7" t="str">
        <f t="shared" si="1"/>
        <v/>
      </c>
      <c r="C19" s="5"/>
      <c r="D19" s="5"/>
      <c r="E19" s="23" t="str">
        <f t="shared" si="0"/>
        <v/>
      </c>
      <c r="F19" s="24" t="str">
        <f t="shared" si="2"/>
        <v/>
      </c>
    </row>
    <row r="20" spans="2:6" x14ac:dyDescent="0.25">
      <c r="B20" s="7" t="str">
        <f t="shared" si="1"/>
        <v/>
      </c>
      <c r="C20" s="5"/>
      <c r="D20" s="5"/>
      <c r="E20" s="23" t="str">
        <f t="shared" si="0"/>
        <v/>
      </c>
      <c r="F20" s="24" t="str">
        <f t="shared" si="2"/>
        <v/>
      </c>
    </row>
    <row r="21" spans="2:6" x14ac:dyDescent="0.25">
      <c r="B21" s="7" t="str">
        <f t="shared" si="1"/>
        <v/>
      </c>
      <c r="C21" s="5"/>
      <c r="D21" s="5"/>
      <c r="E21" s="23" t="str">
        <f t="shared" si="0"/>
        <v/>
      </c>
      <c r="F21" s="24" t="str">
        <f t="shared" si="2"/>
        <v/>
      </c>
    </row>
    <row r="22" spans="2:6" x14ac:dyDescent="0.25">
      <c r="B22" s="7" t="str">
        <f t="shared" si="1"/>
        <v/>
      </c>
      <c r="C22" s="5"/>
      <c r="D22" s="5"/>
      <c r="E22" s="23" t="str">
        <f t="shared" si="0"/>
        <v/>
      </c>
      <c r="F22" s="24" t="str">
        <f t="shared" si="2"/>
        <v/>
      </c>
    </row>
    <row r="23" spans="2:6" x14ac:dyDescent="0.25">
      <c r="B23" s="7" t="str">
        <f t="shared" si="1"/>
        <v/>
      </c>
      <c r="C23" s="5"/>
      <c r="D23" s="5"/>
      <c r="E23" s="23" t="str">
        <f t="shared" si="0"/>
        <v/>
      </c>
      <c r="F23" s="24" t="str">
        <f t="shared" si="2"/>
        <v/>
      </c>
    </row>
    <row r="24" spans="2:6" x14ac:dyDescent="0.25">
      <c r="B24" s="7" t="str">
        <f t="shared" si="1"/>
        <v/>
      </c>
      <c r="C24" s="5"/>
      <c r="D24" s="5"/>
      <c r="E24" s="23" t="str">
        <f t="shared" si="0"/>
        <v/>
      </c>
      <c r="F24" s="24" t="str">
        <f t="shared" si="2"/>
        <v/>
      </c>
    </row>
    <row r="25" spans="2:6" x14ac:dyDescent="0.25">
      <c r="B25" s="7" t="str">
        <f t="shared" si="1"/>
        <v/>
      </c>
      <c r="C25" s="5"/>
      <c r="D25" s="5"/>
      <c r="E25" s="23" t="str">
        <f t="shared" si="0"/>
        <v/>
      </c>
      <c r="F25" s="24" t="str">
        <f t="shared" si="2"/>
        <v/>
      </c>
    </row>
    <row r="26" spans="2:6" x14ac:dyDescent="0.25">
      <c r="B26" s="7" t="str">
        <f t="shared" si="1"/>
        <v/>
      </c>
      <c r="C26" s="5"/>
      <c r="D26" s="5"/>
      <c r="E26" s="23" t="str">
        <f t="shared" si="0"/>
        <v/>
      </c>
      <c r="F26" s="24" t="str">
        <f t="shared" si="2"/>
        <v/>
      </c>
    </row>
    <row r="27" spans="2:6" x14ac:dyDescent="0.25">
      <c r="B27" s="7" t="str">
        <f t="shared" si="1"/>
        <v/>
      </c>
      <c r="C27" s="5"/>
      <c r="D27" s="5"/>
      <c r="E27" s="23" t="str">
        <f t="shared" si="0"/>
        <v/>
      </c>
      <c r="F27" s="24" t="str">
        <f t="shared" si="2"/>
        <v/>
      </c>
    </row>
    <row r="28" spans="2:6" x14ac:dyDescent="0.25">
      <c r="B28" s="7" t="str">
        <f t="shared" si="1"/>
        <v/>
      </c>
      <c r="C28" s="5"/>
      <c r="D28" s="5"/>
      <c r="E28" s="23" t="str">
        <f t="shared" si="0"/>
        <v/>
      </c>
      <c r="F28" s="24" t="str">
        <f t="shared" si="2"/>
        <v/>
      </c>
    </row>
    <row r="29" spans="2:6" x14ac:dyDescent="0.25">
      <c r="B29" s="7" t="str">
        <f t="shared" si="1"/>
        <v/>
      </c>
      <c r="C29" s="5"/>
      <c r="D29" s="5"/>
      <c r="E29" s="23" t="str">
        <f t="shared" si="0"/>
        <v/>
      </c>
      <c r="F29" s="24" t="str">
        <f t="shared" si="2"/>
        <v/>
      </c>
    </row>
    <row r="30" spans="2:6" x14ac:dyDescent="0.25">
      <c r="B30" s="7" t="str">
        <f t="shared" si="1"/>
        <v/>
      </c>
      <c r="C30" s="5"/>
      <c r="D30" s="5"/>
      <c r="E30" s="23" t="str">
        <f t="shared" si="0"/>
        <v/>
      </c>
      <c r="F30" s="24" t="str">
        <f t="shared" si="2"/>
        <v/>
      </c>
    </row>
    <row r="31" spans="2:6" x14ac:dyDescent="0.25">
      <c r="B31" s="7" t="str">
        <f t="shared" si="1"/>
        <v/>
      </c>
      <c r="C31" s="5"/>
      <c r="D31" s="5"/>
      <c r="E31" s="23" t="str">
        <f t="shared" si="0"/>
        <v/>
      </c>
      <c r="F31" s="24" t="str">
        <f t="shared" si="2"/>
        <v/>
      </c>
    </row>
    <row r="32" spans="2:6" x14ac:dyDescent="0.25">
      <c r="B32" s="7" t="str">
        <f t="shared" si="1"/>
        <v/>
      </c>
      <c r="C32" s="5"/>
      <c r="D32" s="5"/>
      <c r="E32" s="23" t="str">
        <f t="shared" si="0"/>
        <v/>
      </c>
      <c r="F32" s="24" t="str">
        <f t="shared" si="2"/>
        <v/>
      </c>
    </row>
    <row r="33" spans="2:6" x14ac:dyDescent="0.25">
      <c r="B33" s="7" t="str">
        <f t="shared" si="1"/>
        <v/>
      </c>
      <c r="C33" s="5"/>
      <c r="D33" s="5"/>
      <c r="E33" s="23" t="str">
        <f t="shared" si="0"/>
        <v/>
      </c>
      <c r="F33" s="24" t="str">
        <f t="shared" si="2"/>
        <v/>
      </c>
    </row>
    <row r="34" spans="2:6" x14ac:dyDescent="0.25">
      <c r="B34" s="7" t="str">
        <f t="shared" si="1"/>
        <v/>
      </c>
      <c r="C34" s="6"/>
      <c r="D34" s="6"/>
      <c r="E34" s="23" t="str">
        <f t="shared" si="0"/>
        <v/>
      </c>
      <c r="F34" s="24" t="str">
        <f t="shared" si="2"/>
        <v/>
      </c>
    </row>
    <row r="36" spans="2:6" x14ac:dyDescent="0.25">
      <c r="E36" s="15" t="s">
        <v>60</v>
      </c>
      <c r="F36" s="25">
        <f>SUM(F13:F34)</f>
        <v>1677066</v>
      </c>
    </row>
    <row r="37" spans="2:6" x14ac:dyDescent="0.25">
      <c r="E37" s="15" t="s">
        <v>58</v>
      </c>
      <c r="F37" s="25">
        <f>F36*0.19</f>
        <v>318642.53999999998</v>
      </c>
    </row>
    <row r="38" spans="2:6" ht="15.75" x14ac:dyDescent="0.25">
      <c r="E38" s="26" t="s">
        <v>59</v>
      </c>
      <c r="F38" s="27">
        <f>F36+F37</f>
        <v>1995708.54</v>
      </c>
    </row>
    <row r="39" spans="2:6" x14ac:dyDescent="0.25">
      <c r="E39" s="15"/>
      <c r="F39" s="10"/>
    </row>
    <row r="41" spans="2:6" x14ac:dyDescent="0.25">
      <c r="B41" s="28" t="str">
        <f>chiffrelettre(F38)</f>
        <v>un million neuf cent quatre-vingt quinze mille sept cent huit Dinars cinquante quatre centimes</v>
      </c>
      <c r="C41" s="28"/>
      <c r="D41" s="28"/>
      <c r="E41" s="28"/>
      <c r="F41" s="28"/>
    </row>
    <row r="42" spans="2:6" x14ac:dyDescent="0.25">
      <c r="B42" s="28"/>
      <c r="C42" s="28"/>
      <c r="D42" s="28"/>
      <c r="E42" s="28"/>
      <c r="F42" s="28"/>
    </row>
    <row r="43" spans="2:6" x14ac:dyDescent="0.25">
      <c r="B43" s="28"/>
      <c r="C43" s="28"/>
      <c r="D43" s="28"/>
      <c r="E43" s="28"/>
      <c r="F43" s="28"/>
    </row>
  </sheetData>
  <mergeCells count="1">
    <mergeCell ref="B41:F43"/>
  </mergeCells>
  <phoneticPr fontId="8" type="noConversion"/>
  <pageMargins left="0.7" right="0.7" top="0.75" bottom="0.75" header="0.3" footer="0.3"/>
  <pageSetup paperSize="9" scale="6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Spinner 3">
              <controlPr defaultSize="0" autoPict="0">
                <anchor moveWithCells="1" sizeWithCells="1">
                  <from>
                    <xdr:col>7</xdr:col>
                    <xdr:colOff>133350</xdr:colOff>
                    <xdr:row>1</xdr:row>
                    <xdr:rowOff>123825</xdr:rowOff>
                  </from>
                  <to>
                    <xdr:col>8</xdr:col>
                    <xdr:colOff>419100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4018-787F-445E-AED1-D428A94221D6}">
          <x14:formula1>
            <xm:f>BDD!$A$3:$A$14</xm:f>
          </x14:formula1>
          <xm:sqref>E6</xm:sqref>
        </x14:dataValidation>
        <x14:dataValidation type="list" allowBlank="1" showInputMessage="1" showErrorMessage="1" xr:uid="{DB8DE611-8CCC-4C3A-9F7D-5A895F7F8ABC}">
          <x14:formula1>
            <xm:f>BDD!$J$3:$J$5</xm:f>
          </x14:formula1>
          <xm:sqref>F9</xm:sqref>
        </x14:dataValidation>
        <x14:dataValidation type="list" allowBlank="1" showInputMessage="1" showErrorMessage="1" xr:uid="{4F87D206-BA5A-4E22-BF4A-01A3C6207A8E}">
          <x14:formula1>
            <xm:f>BDD!$G$3:$G$14</xm:f>
          </x14:formula1>
          <xm:sqref>C13:C34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67FB7-E034-4BE2-AFD3-36441E579399}">
  <sheetPr codeName="Feuil2"/>
  <dimension ref="A2:J17"/>
  <sheetViews>
    <sheetView zoomScale="131" zoomScaleNormal="131" workbookViewId="0"/>
  </sheetViews>
  <sheetFormatPr baseColWidth="10" defaultRowHeight="15" x14ac:dyDescent="0.25"/>
  <cols>
    <col min="1" max="5" width="14.42578125" customWidth="1"/>
    <col min="6" max="6" width="1.7109375" customWidth="1"/>
    <col min="7" max="8" width="20.85546875" customWidth="1"/>
    <col min="9" max="9" width="2.140625" customWidth="1"/>
    <col min="10" max="10" width="24.140625" customWidth="1"/>
  </cols>
  <sheetData>
    <row r="2" spans="1:10" x14ac:dyDescent="0.25">
      <c r="A2" s="17" t="s">
        <v>6</v>
      </c>
      <c r="B2" s="17" t="s">
        <v>7</v>
      </c>
      <c r="C2" s="17" t="s">
        <v>8</v>
      </c>
      <c r="D2" s="17" t="s">
        <v>9</v>
      </c>
      <c r="E2" s="17" t="s">
        <v>10</v>
      </c>
      <c r="G2" s="20" t="s">
        <v>11</v>
      </c>
      <c r="H2" s="20" t="s">
        <v>12</v>
      </c>
      <c r="J2" s="21" t="s">
        <v>13</v>
      </c>
    </row>
    <row r="3" spans="1:10" x14ac:dyDescent="0.25">
      <c r="A3" s="1" t="s">
        <v>14</v>
      </c>
      <c r="B3" s="1" t="s">
        <v>15</v>
      </c>
      <c r="C3" s="2">
        <v>1111</v>
      </c>
      <c r="D3" s="2">
        <v>2222</v>
      </c>
      <c r="E3" s="2">
        <v>3333</v>
      </c>
      <c r="G3" s="18" t="s">
        <v>16</v>
      </c>
      <c r="H3" s="19">
        <v>133379</v>
      </c>
      <c r="J3" s="18" t="s">
        <v>17</v>
      </c>
    </row>
    <row r="4" spans="1:10" x14ac:dyDescent="0.25">
      <c r="A4" s="1" t="s">
        <v>18</v>
      </c>
      <c r="B4" s="1" t="s">
        <v>19</v>
      </c>
      <c r="C4" s="2">
        <v>1112</v>
      </c>
      <c r="D4" s="2">
        <v>2223</v>
      </c>
      <c r="E4" s="2">
        <v>3334</v>
      </c>
      <c r="G4" s="18" t="s">
        <v>20</v>
      </c>
      <c r="H4" s="19">
        <v>109427</v>
      </c>
      <c r="J4" s="18" t="s">
        <v>21</v>
      </c>
    </row>
    <row r="5" spans="1:10" x14ac:dyDescent="0.25">
      <c r="A5" s="1" t="s">
        <v>22</v>
      </c>
      <c r="B5" s="1" t="s">
        <v>23</v>
      </c>
      <c r="C5" s="2">
        <v>1113</v>
      </c>
      <c r="D5" s="2">
        <v>2224</v>
      </c>
      <c r="E5" s="2">
        <v>3335</v>
      </c>
      <c r="G5" s="18" t="s">
        <v>24</v>
      </c>
      <c r="H5" s="19">
        <v>121575</v>
      </c>
      <c r="J5" s="18" t="s">
        <v>25</v>
      </c>
    </row>
    <row r="6" spans="1:10" x14ac:dyDescent="0.25">
      <c r="A6" s="1" t="s">
        <v>26</v>
      </c>
      <c r="B6" s="1" t="s">
        <v>27</v>
      </c>
      <c r="C6" s="2">
        <v>1114</v>
      </c>
      <c r="D6" s="2">
        <v>2225</v>
      </c>
      <c r="E6" s="2">
        <v>3336</v>
      </c>
      <c r="G6" s="18" t="s">
        <v>28</v>
      </c>
      <c r="H6" s="19">
        <v>129196</v>
      </c>
    </row>
    <row r="7" spans="1:10" x14ac:dyDescent="0.25">
      <c r="A7" s="1" t="s">
        <v>29</v>
      </c>
      <c r="B7" s="1" t="s">
        <v>30</v>
      </c>
      <c r="C7" s="2">
        <v>1115</v>
      </c>
      <c r="D7" s="2">
        <v>2226</v>
      </c>
      <c r="E7" s="2">
        <v>3337</v>
      </c>
      <c r="G7" s="18" t="s">
        <v>31</v>
      </c>
      <c r="H7" s="19">
        <v>145157</v>
      </c>
    </row>
    <row r="8" spans="1:10" x14ac:dyDescent="0.25">
      <c r="A8" s="1" t="s">
        <v>32</v>
      </c>
      <c r="B8" s="1" t="s">
        <v>33</v>
      </c>
      <c r="C8" s="2">
        <v>1116</v>
      </c>
      <c r="D8" s="2">
        <v>2227</v>
      </c>
      <c r="E8" s="2">
        <v>3338</v>
      </c>
      <c r="G8" s="18" t="s">
        <v>34</v>
      </c>
      <c r="H8" s="19">
        <v>62800</v>
      </c>
    </row>
    <row r="9" spans="1:10" x14ac:dyDescent="0.25">
      <c r="A9" s="1" t="s">
        <v>35</v>
      </c>
      <c r="B9" s="1" t="s">
        <v>36</v>
      </c>
      <c r="C9" s="2">
        <v>1117</v>
      </c>
      <c r="D9" s="2">
        <v>2228</v>
      </c>
      <c r="E9" s="2">
        <v>3339</v>
      </c>
      <c r="G9" s="18" t="s">
        <v>37</v>
      </c>
      <c r="H9" s="19">
        <v>75774</v>
      </c>
    </row>
    <row r="10" spans="1:10" x14ac:dyDescent="0.25">
      <c r="A10" s="1" t="s">
        <v>38</v>
      </c>
      <c r="B10" s="1" t="s">
        <v>39</v>
      </c>
      <c r="C10" s="2">
        <v>1118</v>
      </c>
      <c r="D10" s="2">
        <v>2229</v>
      </c>
      <c r="E10" s="2">
        <v>3340</v>
      </c>
      <c r="G10" s="18" t="s">
        <v>40</v>
      </c>
      <c r="H10" s="19">
        <v>54405</v>
      </c>
    </row>
    <row r="11" spans="1:10" x14ac:dyDescent="0.25">
      <c r="A11" s="1" t="s">
        <v>41</v>
      </c>
      <c r="B11" s="1" t="s">
        <v>42</v>
      </c>
      <c r="C11" s="2">
        <v>1119</v>
      </c>
      <c r="D11" s="2">
        <v>2230</v>
      </c>
      <c r="E11" s="2">
        <v>3341</v>
      </c>
      <c r="G11" s="18" t="s">
        <v>43</v>
      </c>
      <c r="H11" s="19">
        <v>114228</v>
      </c>
    </row>
    <row r="12" spans="1:10" x14ac:dyDescent="0.25">
      <c r="A12" s="1" t="s">
        <v>44</v>
      </c>
      <c r="B12" s="1" t="s">
        <v>45</v>
      </c>
      <c r="C12" s="2">
        <v>1120</v>
      </c>
      <c r="D12" s="2">
        <v>2231</v>
      </c>
      <c r="E12" s="2">
        <v>3342</v>
      </c>
      <c r="G12" s="18" t="s">
        <v>46</v>
      </c>
      <c r="H12" s="19">
        <v>142500</v>
      </c>
    </row>
    <row r="13" spans="1:10" x14ac:dyDescent="0.25">
      <c r="A13" s="1" t="s">
        <v>47</v>
      </c>
      <c r="B13" s="1" t="s">
        <v>48</v>
      </c>
      <c r="C13" s="2">
        <v>1121</v>
      </c>
      <c r="D13" s="2">
        <v>2232</v>
      </c>
      <c r="E13" s="2">
        <v>3343</v>
      </c>
      <c r="G13" s="18" t="s">
        <v>49</v>
      </c>
      <c r="H13" s="19">
        <v>50741</v>
      </c>
    </row>
    <row r="14" spans="1:10" x14ac:dyDescent="0.25">
      <c r="A14" s="1" t="s">
        <v>50</v>
      </c>
      <c r="B14" s="1" t="s">
        <v>51</v>
      </c>
      <c r="C14" s="2">
        <v>1122</v>
      </c>
      <c r="D14" s="2">
        <v>2233</v>
      </c>
      <c r="E14" s="2">
        <v>3344</v>
      </c>
      <c r="G14" s="18" t="s">
        <v>52</v>
      </c>
      <c r="H14" s="19">
        <v>53493</v>
      </c>
    </row>
    <row r="17" spans="3:3" x14ac:dyDescent="0.25">
      <c r="C17" t="e">
        <f>cli</f>
        <v>#NAME?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AAD59-1870-4E95-9407-CBCA23ECA56E}">
  <dimension ref="A1"/>
  <sheetViews>
    <sheetView showGridLines="0" workbookViewId="0">
      <selection activeCell="L16" sqref="L16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</vt:i4>
      </vt:variant>
    </vt:vector>
  </HeadingPairs>
  <TitlesOfParts>
    <vt:vector size="6" baseType="lpstr">
      <vt:lpstr>FACTURE</vt:lpstr>
      <vt:lpstr>BDD</vt:lpstr>
      <vt:lpstr>Lien Hypertexte</vt:lpstr>
      <vt:lpstr>ARTICLE</vt:lpstr>
      <vt:lpstr>CLIENT</vt:lpstr>
      <vt:lpstr>MODE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samy baba</cp:lastModifiedBy>
  <cp:lastPrinted>2025-08-27T13:58:02Z</cp:lastPrinted>
  <dcterms:created xsi:type="dcterms:W3CDTF">2015-06-05T18:17:20Z</dcterms:created>
  <dcterms:modified xsi:type="dcterms:W3CDTF">2025-08-28T12:31:51Z</dcterms:modified>
</cp:coreProperties>
</file>
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OneDrive\Desktop\CV &amp; Certification &amp; Projects\Excel projects\Aymen Excel\"/>
    </mc:Choice>
  </mc:AlternateContent>
  <xr:revisionPtr revIDLastSave="0" documentId="13_ncr:1_{6615B37A-B9E8-4668-B899-D03D68DE463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Entree sortie" sheetId="1" r:id="rId1"/>
    <sheet name="Marchandise" sheetId="2" r:id="rId2"/>
    <sheet name="Inventaire" sheetId="3" r:id="rId3"/>
  </sheets>
  <definedNames>
    <definedName name="Segment_Statue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" i="3" l="1"/>
  <c r="G12" i="3"/>
  <c r="D17" i="3"/>
  <c r="D21" i="3"/>
  <c r="C20" i="3"/>
  <c r="A10" i="3"/>
  <c r="H10" i="3" s="1"/>
  <c r="A11" i="3"/>
  <c r="E11" i="3" s="1"/>
  <c r="A12" i="3"/>
  <c r="F12" i="3" s="1"/>
  <c r="A13" i="3"/>
  <c r="G13" i="3" s="1"/>
  <c r="A14" i="3"/>
  <c r="H14" i="3" s="1"/>
  <c r="A15" i="3"/>
  <c r="E15" i="3" s="1"/>
  <c r="A16" i="3"/>
  <c r="F16" i="3" s="1"/>
  <c r="A17" i="3"/>
  <c r="G17" i="3" s="1"/>
  <c r="A18" i="3"/>
  <c r="H18" i="3" s="1"/>
  <c r="A19" i="3"/>
  <c r="E19" i="3" s="1"/>
  <c r="A20" i="3"/>
  <c r="F20" i="3" s="1"/>
  <c r="A21" i="3"/>
  <c r="G21" i="3" s="1"/>
  <c r="A22" i="3"/>
  <c r="H22" i="3" s="1"/>
  <c r="G10" i="1"/>
  <c r="B6" i="1"/>
  <c r="G7" i="1"/>
  <c r="G6" i="1"/>
  <c r="B10" i="1"/>
  <c r="B7" i="1"/>
  <c r="B11" i="3" l="1"/>
  <c r="F15" i="3"/>
  <c r="F11" i="3"/>
  <c r="B19" i="3"/>
  <c r="C16" i="3"/>
  <c r="D13" i="3"/>
  <c r="G20" i="3"/>
  <c r="H17" i="3"/>
  <c r="B15" i="3"/>
  <c r="C12" i="3"/>
  <c r="F19" i="3"/>
  <c r="G16" i="3"/>
  <c r="I16" i="3" s="1"/>
  <c r="J16" i="3" s="1"/>
  <c r="H13" i="3"/>
  <c r="B22" i="3"/>
  <c r="B18" i="3"/>
  <c r="B14" i="3"/>
  <c r="B10" i="3"/>
  <c r="C19" i="3"/>
  <c r="C15" i="3"/>
  <c r="C11" i="3"/>
  <c r="D20" i="3"/>
  <c r="D16" i="3"/>
  <c r="D12" i="3"/>
  <c r="E21" i="3"/>
  <c r="E17" i="3"/>
  <c r="E13" i="3"/>
  <c r="F22" i="3"/>
  <c r="I22" i="3" s="1"/>
  <c r="F18" i="3"/>
  <c r="I18" i="3" s="1"/>
  <c r="J18" i="3" s="1"/>
  <c r="F14" i="3"/>
  <c r="F10" i="3"/>
  <c r="G19" i="3"/>
  <c r="I19" i="3" s="1"/>
  <c r="J19" i="3" s="1"/>
  <c r="G15" i="3"/>
  <c r="I15" i="3" s="1"/>
  <c r="J15" i="3" s="1"/>
  <c r="G11" i="3"/>
  <c r="H20" i="3"/>
  <c r="H16" i="3"/>
  <c r="H12" i="3"/>
  <c r="I12" i="3" s="1"/>
  <c r="J12" i="3" s="1"/>
  <c r="B21" i="3"/>
  <c r="B17" i="3"/>
  <c r="B13" i="3"/>
  <c r="C22" i="3"/>
  <c r="C18" i="3"/>
  <c r="C14" i="3"/>
  <c r="C10" i="3"/>
  <c r="D19" i="3"/>
  <c r="D15" i="3"/>
  <c r="D11" i="3"/>
  <c r="E20" i="3"/>
  <c r="E16" i="3"/>
  <c r="E12" i="3"/>
  <c r="F21" i="3"/>
  <c r="I21" i="3" s="1"/>
  <c r="F17" i="3"/>
  <c r="F13" i="3"/>
  <c r="I13" i="3" s="1"/>
  <c r="J13" i="3" s="1"/>
  <c r="G22" i="3"/>
  <c r="G18" i="3"/>
  <c r="G14" i="3"/>
  <c r="G10" i="3"/>
  <c r="I10" i="3" s="1"/>
  <c r="H19" i="3"/>
  <c r="H15" i="3"/>
  <c r="H11" i="3"/>
  <c r="I11" i="3" s="1"/>
  <c r="J11" i="3" s="1"/>
  <c r="E22" i="3"/>
  <c r="E18" i="3"/>
  <c r="E14" i="3"/>
  <c r="E10" i="3"/>
  <c r="B20" i="3"/>
  <c r="B16" i="3"/>
  <c r="B12" i="3"/>
  <c r="C21" i="3"/>
  <c r="C17" i="3"/>
  <c r="C13" i="3"/>
  <c r="D22" i="3"/>
  <c r="D18" i="3"/>
  <c r="D14" i="3"/>
  <c r="D10" i="3"/>
  <c r="I20" i="3"/>
  <c r="I14" i="3"/>
  <c r="J14" i="3" s="1"/>
  <c r="I17" i="3" l="1"/>
  <c r="J17" i="3" s="1"/>
  <c r="J22" i="3"/>
  <c r="J21" i="3"/>
  <c r="J20" i="3"/>
  <c r="J10" i="3"/>
</calcChain>
</file>

<file path=xl/sharedStrings.xml><?xml version="1.0" encoding="utf-8"?>
<sst xmlns="http://schemas.openxmlformats.org/spreadsheetml/2006/main" count="160" uniqueCount="57">
  <si>
    <t>Nouvelle opération :</t>
  </si>
  <si>
    <t>Inventaire</t>
  </si>
  <si>
    <t>Détails Inventaire :</t>
  </si>
  <si>
    <t>Nouvelle Marchandise :</t>
  </si>
  <si>
    <t>Référence</t>
  </si>
  <si>
    <t>Désignation</t>
  </si>
  <si>
    <t>Catégorie</t>
  </si>
  <si>
    <t>Unité</t>
  </si>
  <si>
    <t>Seuil d'alerte</t>
  </si>
  <si>
    <t>Stock initial</t>
  </si>
  <si>
    <t>P/U</t>
  </si>
  <si>
    <t>Total</t>
  </si>
  <si>
    <t>Entrée</t>
  </si>
  <si>
    <t>Sortie</t>
  </si>
  <si>
    <t>Stock final</t>
  </si>
  <si>
    <t>Statue</t>
  </si>
  <si>
    <t>N°</t>
  </si>
  <si>
    <t>DATE</t>
  </si>
  <si>
    <t>Opération</t>
  </si>
  <si>
    <t>Réf</t>
  </si>
  <si>
    <t>PU</t>
  </si>
  <si>
    <t>Q</t>
  </si>
  <si>
    <t>TOTAL</t>
  </si>
  <si>
    <t>0001</t>
  </si>
  <si>
    <t>0002</t>
  </si>
  <si>
    <t>0003</t>
  </si>
  <si>
    <t>0004</t>
  </si>
  <si>
    <t>0005</t>
  </si>
  <si>
    <t>0006</t>
  </si>
  <si>
    <t>0007</t>
  </si>
  <si>
    <t>0008</t>
  </si>
  <si>
    <t>Ordinateur</t>
  </si>
  <si>
    <t>Téléphone</t>
  </si>
  <si>
    <t>Tablette</t>
  </si>
  <si>
    <t>LAPTOP 1</t>
  </si>
  <si>
    <t>LAPTOP 2</t>
  </si>
  <si>
    <t>LAPTOP 3</t>
  </si>
  <si>
    <t>Samsung 2</t>
  </si>
  <si>
    <t>Samsung 1</t>
  </si>
  <si>
    <t>Ipad 2</t>
  </si>
  <si>
    <t>Ipad 1</t>
  </si>
  <si>
    <t xml:space="preserve">Pièce </t>
  </si>
  <si>
    <t>Samsung 3</t>
  </si>
  <si>
    <t>entrée</t>
  </si>
  <si>
    <t>sortie</t>
  </si>
  <si>
    <t>0009</t>
  </si>
  <si>
    <t>0010</t>
  </si>
  <si>
    <t>0011</t>
  </si>
  <si>
    <t>0012</t>
  </si>
  <si>
    <t>0013</t>
  </si>
  <si>
    <t>Samsung 4</t>
  </si>
  <si>
    <t>Samsung 5</t>
  </si>
  <si>
    <t>Samsung 6</t>
  </si>
  <si>
    <t>Samsung 7</t>
  </si>
  <si>
    <t>Samsung 8</t>
  </si>
  <si>
    <t xml:space="preserve">             Suivi de stock</t>
  </si>
  <si>
    <t xml:space="preserve">        Marchandise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</si>
</sst>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@\ \:"/>
  </numFmts>
  <fonts count="7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gradientFill degree="90">
        <stop position="0">
          <color theme="8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43" fontId="5" fillId="0" borderId="0" applyFont="0" applyFill="0" applyBorder="0" applyAlignment="0" applyProtection="0"/>
  </cellStyleXfs>
  <cellXfs count="29">
    <xf numFmtId="0" fontId="0" fillId="0" borderId="0" xfId="0"/>
    <xf numFmtId="0" fontId="0" fillId="3" borderId="0" xfId="0" applyFill="1"/>
    <xf numFmtId="0" fontId="4" fillId="3" borderId="1" xfId="1" applyFont="1" applyFill="1"/>
    <xf numFmtId="0" fontId="0" fillId="4" borderId="0" xfId="0" applyFill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5" borderId="2" xfId="0" applyFill="1" applyBorder="1"/>
    <xf numFmtId="0" fontId="0" fillId="5" borderId="7" xfId="0" applyFill="1" applyBorder="1"/>
    <xf numFmtId="0" fontId="0" fillId="5" borderId="9" xfId="0" applyFill="1" applyBorder="1"/>
    <xf numFmtId="0" fontId="0" fillId="5" borderId="10" xfId="0" applyFill="1" applyBorder="1"/>
    <xf numFmtId="0" fontId="0" fillId="5" borderId="4" xfId="0" applyFill="1" applyBorder="1"/>
    <xf numFmtId="0" fontId="0" fillId="5" borderId="0" xfId="0" applyFill="1"/>
    <xf numFmtId="164" fontId="2" fillId="4" borderId="2" xfId="0" applyNumberFormat="1" applyFont="1" applyFill="1" applyBorder="1" applyAlignment="1">
      <alignment horizontal="right"/>
    </xf>
    <xf numFmtId="0" fontId="3" fillId="2" borderId="0" xfId="0" applyFont="1" applyFill="1" applyAlignment="1">
      <alignment horizontal="left" vertical="center"/>
    </xf>
    <xf numFmtId="49" fontId="0" fillId="5" borderId="6" xfId="0" applyNumberFormat="1" applyFill="1" applyBorder="1"/>
    <xf numFmtId="43" fontId="0" fillId="5" borderId="2" xfId="2" applyFont="1" applyFill="1" applyBorder="1"/>
    <xf numFmtId="0" fontId="0" fillId="5" borderId="2" xfId="0" applyFill="1" applyBorder="1" applyAlignment="1">
      <alignment horizontal="center"/>
    </xf>
    <xf numFmtId="14" fontId="0" fillId="5" borderId="2" xfId="0" applyNumberFormat="1" applyFill="1" applyBorder="1" applyAlignment="1">
      <alignment horizontal="center"/>
    </xf>
    <xf numFmtId="4" fontId="0" fillId="5" borderId="2" xfId="0" applyNumberFormat="1" applyFill="1" applyBorder="1" applyAlignment="1">
      <alignment horizontal="center"/>
    </xf>
    <xf numFmtId="43" fontId="0" fillId="4" borderId="0" xfId="2" applyFont="1" applyFill="1"/>
    <xf numFmtId="43" fontId="0" fillId="0" borderId="0" xfId="2" applyFont="1"/>
    <xf numFmtId="0" fontId="0" fillId="5" borderId="2" xfId="0" applyFill="1" applyBorder="1" applyAlignment="1">
      <alignment horizontal="center"/>
    </xf>
    <xf numFmtId="14" fontId="0" fillId="5" borderId="2" xfId="0" applyNumberFormat="1" applyFill="1" applyBorder="1" applyAlignment="1">
      <alignment horizontal="center"/>
    </xf>
    <xf numFmtId="43" fontId="0" fillId="5" borderId="2" xfId="2" applyFon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14" fontId="0" fillId="5" borderId="9" xfId="0" applyNumberFormat="1" applyFill="1" applyBorder="1" applyAlignment="1">
      <alignment horizontal="center"/>
    </xf>
    <xf numFmtId="43" fontId="0" fillId="5" borderId="9" xfId="2" applyFont="1" applyFill="1" applyBorder="1" applyAlignment="1">
      <alignment horizontal="center"/>
    </xf>
    <xf numFmtId="49" fontId="0" fillId="5" borderId="8" xfId="0" applyNumberFormat="1" applyFill="1" applyBorder="1"/>
  </cellXfs>
  <cellStyles count="3">
    <cellStyle name="Milliers" xfId="2" builtinId="3"/>
    <cellStyle name="Normal" xfId="0" builtinId="0"/>
    <cellStyle name="Titre 1" xfId="1" builtinId="16"/>
  </cellStyles>
  <dxfs count="45">
    <dxf>
      <font>
        <b/>
        <i val="0"/>
        <color theme="9"/>
      </font>
    </dxf>
    <dxf>
      <font>
        <b/>
        <i/>
        <color rgb="FFC00000"/>
      </font>
    </dxf>
    <dxf>
      <fill>
        <patternFill>
          <bgColor theme="5"/>
        </patternFill>
      </fill>
    </dxf>
    <dxf>
      <fill>
        <patternFill patternType="solid">
          <bgColor rgb="FF002060"/>
        </patternFill>
      </fill>
    </dxf>
    <dxf>
      <fill>
        <patternFill>
          <bgColor theme="4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theme="8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theme="8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/>
        </patternFill>
      </fill>
    </dxf>
  </dxfs>
  <tableStyles count="4" defaultTableStyle="TableStyleMedium2" defaultPivotStyle="PivotStyleLight16">
    <tableStyle name="Style de segment 1" pivot="0" table="0" count="1" xr9:uid="{E7866E35-5F55-4DFD-BB5B-5C25E846B8AA}">
      <tableStyleElement type="wholeTable" dxfId="5"/>
    </tableStyle>
    <tableStyle name="Style de segment 2" pivot="0" table="0" count="1" xr9:uid="{F286C097-E2BE-4616-9E0A-559F692D42A4}">
      <tableStyleElement type="wholeTable" dxfId="4"/>
    </tableStyle>
    <tableStyle name="Style de segment 3" pivot="0" table="0" count="1" xr9:uid="{8AC56282-A350-4D12-A188-460BD64A20E0}">
      <tableStyleElement type="wholeTable" dxfId="3"/>
    </tableStyle>
    <tableStyle name="Style de segment 4" pivot="0" table="0" count="1" xr9:uid="{67BCFA56-8629-47EA-9771-AF8AA5191C9B}">
      <tableStyleElement type="wholeTable" dxfId="2"/>
    </tableStyle>
  </tableStyles>
  <extLst>
    <ext xmlns:x14="http://schemas.microsoft.com/office/spreadsheetml/2009/9/main" uri="{EB79DEF2-80B8-43e5-95BD-54CBDDF9020C}">
      <x14:slicerStyles defaultSlicerStyle="SlicerStyleLight1">
        <x14:slicerStyle name="Style de segment 1"/>
        <x14:slicerStyle name="Style de segment 2"/>
        <x14:slicerStyle name="Style de segment 3"/>
        <x14:slicerStyle name="Style de segment 4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microsoft.com/office/2007/relationships/slicerCache" Target="slicerCaches/slicerCach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ventaire!A1"/><Relationship Id="rId2" Type="http://schemas.openxmlformats.org/officeDocument/2006/relationships/hyperlink" Target="#Marchandise!A1"/><Relationship Id="rId1" Type="http://schemas.openxmlformats.org/officeDocument/2006/relationships/hyperlink" Target="#'Entree sortie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ventaire!A1"/><Relationship Id="rId2" Type="http://schemas.openxmlformats.org/officeDocument/2006/relationships/hyperlink" Target="#Marchandise!A1"/><Relationship Id="rId1" Type="http://schemas.openxmlformats.org/officeDocument/2006/relationships/hyperlink" Target="#'Entree sortie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ventaire!A1"/><Relationship Id="rId2" Type="http://schemas.openxmlformats.org/officeDocument/2006/relationships/hyperlink" Target="#Marchandise!A1"/><Relationship Id="rId1" Type="http://schemas.openxmlformats.org/officeDocument/2006/relationships/hyperlink" Target="#'Entree sortie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389284</xdr:colOff>
      <xdr:row>0</xdr:row>
      <xdr:rowOff>48041</xdr:rowOff>
    </xdr:from>
    <xdr:to>
      <xdr:col>7</xdr:col>
      <xdr:colOff>513523</xdr:colOff>
      <xdr:row>1</xdr:row>
      <xdr:rowOff>109541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E6D206E1-0D43-714A-C68B-5C064E52D684}"/>
            </a:ext>
          </a:extLst>
        </xdr:cNvPr>
        <xdr:cNvGrpSpPr/>
      </xdr:nvGrpSpPr>
      <xdr:grpSpPr>
        <a:xfrm>
          <a:off x="2261154" y="48041"/>
          <a:ext cx="4803912" cy="252000"/>
          <a:chOff x="2261154" y="48041"/>
          <a:chExt cx="4803912" cy="252000"/>
        </a:xfrm>
      </xdr:grpSpPr>
      <xdr:sp macro="" textlink="">
        <xdr:nvSpPr>
          <xdr:cNvPr id="3" name="Rectangle : coins arrondis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44A86A3-FF1A-EFF6-12FB-46FEA2A46204}"/>
              </a:ext>
            </a:extLst>
          </xdr:cNvPr>
          <xdr:cNvSpPr/>
        </xdr:nvSpPr>
        <xdr:spPr>
          <a:xfrm>
            <a:off x="2261154" y="48041"/>
            <a:ext cx="1080000" cy="2520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/>
              <a:t>Entrée - Sortie</a:t>
            </a:r>
          </a:p>
          <a:p>
            <a:pPr algn="ctr"/>
            <a:endParaRPr lang="fr-FR" sz="1100" b="1"/>
          </a:p>
        </xdr:txBody>
      </xdr:sp>
      <xdr:sp macro="" textlink="">
        <xdr:nvSpPr>
          <xdr:cNvPr id="4" name="Rectangle : coins arrondis 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585851-DD68-5AC5-FDCD-7777863EDDA6}"/>
              </a:ext>
            </a:extLst>
          </xdr:cNvPr>
          <xdr:cNvSpPr/>
        </xdr:nvSpPr>
        <xdr:spPr>
          <a:xfrm>
            <a:off x="3456059" y="48041"/>
            <a:ext cx="1080000" cy="2520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/>
              <a:t>Marchandise</a:t>
            </a:r>
          </a:p>
          <a:p>
            <a:pPr algn="ctr"/>
            <a:endParaRPr lang="fr-FR" sz="1100" b="1"/>
          </a:p>
        </xdr:txBody>
      </xdr:sp>
      <xdr:sp macro="" textlink="">
        <xdr:nvSpPr>
          <xdr:cNvPr id="5" name="Rectangle : coins arrondis 4">
            <a:extLst>
              <a:ext uri="{FF2B5EF4-FFF2-40B4-BE49-F238E27FC236}">
                <a16:creationId xmlns:a16="http://schemas.microsoft.com/office/drawing/2014/main" id="{9A58C4D8-9AE6-FBDF-695C-BFD586C5E868}"/>
              </a:ext>
            </a:extLst>
          </xdr:cNvPr>
          <xdr:cNvSpPr/>
        </xdr:nvSpPr>
        <xdr:spPr>
          <a:xfrm>
            <a:off x="5845868" y="48041"/>
            <a:ext cx="1219198" cy="2520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/>
              <a:t>Tableau de bord</a:t>
            </a:r>
          </a:p>
          <a:p>
            <a:pPr algn="ctr"/>
            <a:endParaRPr lang="fr-FR" sz="1100" b="1"/>
          </a:p>
        </xdr:txBody>
      </xdr:sp>
      <xdr:sp macro="" textlink="">
        <xdr:nvSpPr>
          <xdr:cNvPr id="6" name="Rectangle : coins arrondis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32B81D0-5296-5AD2-598A-0AB1843B45D3}"/>
              </a:ext>
            </a:extLst>
          </xdr:cNvPr>
          <xdr:cNvSpPr/>
        </xdr:nvSpPr>
        <xdr:spPr>
          <a:xfrm>
            <a:off x="4650964" y="48041"/>
            <a:ext cx="1080000" cy="2520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/>
              <a:t>Inventaire</a:t>
            </a:r>
          </a:p>
          <a:p>
            <a:pPr algn="ctr"/>
            <a:endParaRPr lang="fr-FR" sz="1100" b="1"/>
          </a:p>
        </xdr:txBody>
      </xdr:sp>
    </xdr:grpSp>
    <xdr:clientData/>
  </xdr:twoCellAnchor>
  <xdr:twoCellAnchor>
    <xdr:from>
      <xdr:col>0</xdr:col>
      <xdr:colOff>911087</xdr:colOff>
      <xdr:row>11</xdr:row>
      <xdr:rowOff>110987</xdr:rowOff>
    </xdr:from>
    <xdr:to>
      <xdr:col>4</xdr:col>
      <xdr:colOff>149087</xdr:colOff>
      <xdr:row>13</xdr:row>
      <xdr:rowOff>119270</xdr:rowOff>
    </xdr:to>
    <xdr:sp macro="[0]!jj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ADF380F5-B6E2-EB9D-2257-6AC5EC223736}"/>
            </a:ext>
          </a:extLst>
        </xdr:cNvPr>
        <xdr:cNvSpPr/>
      </xdr:nvSpPr>
      <xdr:spPr>
        <a:xfrm>
          <a:off x="911087" y="2272748"/>
          <a:ext cx="2981739" cy="389283"/>
        </a:xfrm>
        <a:prstGeom prst="roundRect">
          <a:avLst/>
        </a:prstGeom>
        <a:ln/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>
              <a:solidFill>
                <a:sysClr val="windowText" lastClr="000000"/>
              </a:solidFill>
            </a:rPr>
            <a:t>Ajouter</a:t>
          </a:r>
        </a:p>
      </xdr:txBody>
    </xdr:sp>
    <xdr:clientData/>
  </xdr:twoCellAnchor>
  <xdr:twoCellAnchor>
    <xdr:from>
      <xdr:col>5</xdr:col>
      <xdr:colOff>359465</xdr:colOff>
      <xdr:row>11</xdr:row>
      <xdr:rowOff>110987</xdr:rowOff>
    </xdr:from>
    <xdr:to>
      <xdr:col>8</xdr:col>
      <xdr:colOff>533400</xdr:colOff>
      <xdr:row>13</xdr:row>
      <xdr:rowOff>119270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713389A4-6DE4-7B20-C321-7814DF1A27ED}"/>
            </a:ext>
          </a:extLst>
        </xdr:cNvPr>
        <xdr:cNvSpPr/>
      </xdr:nvSpPr>
      <xdr:spPr>
        <a:xfrm>
          <a:off x="5039139" y="2272748"/>
          <a:ext cx="2981739" cy="389283"/>
        </a:xfrm>
        <a:prstGeom prst="roundRect">
          <a:avLst/>
        </a:prstGeom>
        <a:solidFill>
          <a:schemeClr val="bg1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>
              <a:solidFill>
                <a:sysClr val="windowText" lastClr="000000"/>
              </a:solidFill>
            </a:rPr>
            <a:t>Annuler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372717</xdr:colOff>
      <xdr:row>0</xdr:row>
      <xdr:rowOff>49696</xdr:rowOff>
    </xdr:from>
    <xdr:to>
      <xdr:col>8</xdr:col>
      <xdr:colOff>74542</xdr:colOff>
      <xdr:row>1</xdr:row>
      <xdr:rowOff>111196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16575983-1763-4239-AD99-0D30F1BC0B12}"/>
            </a:ext>
          </a:extLst>
        </xdr:cNvPr>
        <xdr:cNvGrpSpPr/>
      </xdr:nvGrpSpPr>
      <xdr:grpSpPr>
        <a:xfrm>
          <a:off x="1797326" y="49696"/>
          <a:ext cx="4803912" cy="252000"/>
          <a:chOff x="2261154" y="48041"/>
          <a:chExt cx="4803912" cy="252000"/>
        </a:xfrm>
      </xdr:grpSpPr>
      <xdr:sp macro="" textlink="">
        <xdr:nvSpPr>
          <xdr:cNvPr id="13" name="Rectangle : coins arrondis 1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6623CE-7834-6400-A7DA-E3365599FDC2}"/>
              </a:ext>
            </a:extLst>
          </xdr:cNvPr>
          <xdr:cNvSpPr/>
        </xdr:nvSpPr>
        <xdr:spPr>
          <a:xfrm>
            <a:off x="2261154" y="48041"/>
            <a:ext cx="1080000" cy="2520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/>
              <a:t>Entrée - Sortie</a:t>
            </a:r>
          </a:p>
          <a:p>
            <a:pPr algn="ctr"/>
            <a:endParaRPr lang="fr-FR" sz="1100" b="1"/>
          </a:p>
        </xdr:txBody>
      </xdr:sp>
      <xdr:sp macro="" textlink="">
        <xdr:nvSpPr>
          <xdr:cNvPr id="14" name="Rectangle : coins arrondis 1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20632B1-1111-D313-DF62-567C66A58261}"/>
              </a:ext>
            </a:extLst>
          </xdr:cNvPr>
          <xdr:cNvSpPr/>
        </xdr:nvSpPr>
        <xdr:spPr>
          <a:xfrm>
            <a:off x="3456059" y="48041"/>
            <a:ext cx="1080000" cy="2520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/>
              <a:t>Marchandise</a:t>
            </a:r>
          </a:p>
          <a:p>
            <a:pPr algn="ctr"/>
            <a:endParaRPr lang="fr-FR" sz="1100" b="1"/>
          </a:p>
        </xdr:txBody>
      </xdr:sp>
      <xdr:sp macro="" textlink="">
        <xdr:nvSpPr>
          <xdr:cNvPr id="15" name="Rectangle : coins arrondis 14">
            <a:extLst>
              <a:ext uri="{FF2B5EF4-FFF2-40B4-BE49-F238E27FC236}">
                <a16:creationId xmlns:a16="http://schemas.microsoft.com/office/drawing/2014/main" id="{42DB71C1-C897-E02A-093B-6D68F0CAF6B1}"/>
              </a:ext>
            </a:extLst>
          </xdr:cNvPr>
          <xdr:cNvSpPr/>
        </xdr:nvSpPr>
        <xdr:spPr>
          <a:xfrm>
            <a:off x="5845868" y="48041"/>
            <a:ext cx="1219198" cy="2520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/>
              <a:t>Tableau de bord</a:t>
            </a:r>
          </a:p>
          <a:p>
            <a:pPr algn="ctr"/>
            <a:endParaRPr lang="fr-FR" sz="1100" b="1"/>
          </a:p>
        </xdr:txBody>
      </xdr:sp>
      <xdr:sp macro="" textlink="">
        <xdr:nvSpPr>
          <xdr:cNvPr id="16" name="Rectangle : coins arrondis 1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265A2AFA-F965-BDF4-7762-268C2EEEA16B}"/>
              </a:ext>
            </a:extLst>
          </xdr:cNvPr>
          <xdr:cNvSpPr/>
        </xdr:nvSpPr>
        <xdr:spPr>
          <a:xfrm>
            <a:off x="4650964" y="48041"/>
            <a:ext cx="1080000" cy="2520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/>
              <a:t>Inventaire</a:t>
            </a:r>
          </a:p>
          <a:p>
            <a:pPr algn="ctr"/>
            <a:endParaRPr lang="fr-FR" sz="1100" b="1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173935</xdr:colOff>
      <xdr:row>5</xdr:row>
      <xdr:rowOff>150743</xdr:rowOff>
    </xdr:from>
    <xdr:to>
      <xdr:col>9</xdr:col>
      <xdr:colOff>1308651</xdr:colOff>
      <xdr:row>7</xdr:row>
      <xdr:rowOff>182218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6" name="Statue">
              <a:extLst>
                <a:ext uri="{FF2B5EF4-FFF2-40B4-BE49-F238E27FC236}">
                  <a16:creationId xmlns:a16="http://schemas.microsoft.com/office/drawing/2014/main" id="{3118C908-FF6D-0773-D309-4938344BD9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97218" y="1169504"/>
              <a:ext cx="3147390" cy="412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215348</xdr:colOff>
      <xdr:row>0</xdr:row>
      <xdr:rowOff>49696</xdr:rowOff>
    </xdr:from>
    <xdr:to>
      <xdr:col>8</xdr:col>
      <xdr:colOff>397565</xdr:colOff>
      <xdr:row>1</xdr:row>
      <xdr:rowOff>111196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698E3F3C-F778-4768-99C6-3625D217D317}"/>
            </a:ext>
          </a:extLst>
        </xdr:cNvPr>
        <xdr:cNvGrpSpPr/>
      </xdr:nvGrpSpPr>
      <xdr:grpSpPr>
        <a:xfrm>
          <a:off x="1755913" y="49696"/>
          <a:ext cx="5549348" cy="252000"/>
          <a:chOff x="2261154" y="48041"/>
          <a:chExt cx="4803912" cy="252000"/>
        </a:xfrm>
      </xdr:grpSpPr>
      <xdr:sp macro="" textlink="">
        <xdr:nvSpPr>
          <xdr:cNvPr id="8" name="Rectangle : coins arrondis 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6DA3E37-7A13-4460-1489-EBF609A60C4D}"/>
              </a:ext>
            </a:extLst>
          </xdr:cNvPr>
          <xdr:cNvSpPr/>
        </xdr:nvSpPr>
        <xdr:spPr>
          <a:xfrm>
            <a:off x="2261154" y="48041"/>
            <a:ext cx="1080000" cy="2520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/>
              <a:t>Entrée - Sortie</a:t>
            </a:r>
          </a:p>
          <a:p>
            <a:pPr algn="ctr"/>
            <a:endParaRPr lang="fr-FR" sz="1100" b="1"/>
          </a:p>
        </xdr:txBody>
      </xdr:sp>
      <xdr:sp macro="" textlink="">
        <xdr:nvSpPr>
          <xdr:cNvPr id="9" name="Rectangle : coins arrondis 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5E73233-6A44-B837-8539-E482DA3A8C95}"/>
              </a:ext>
            </a:extLst>
          </xdr:cNvPr>
          <xdr:cNvSpPr/>
        </xdr:nvSpPr>
        <xdr:spPr>
          <a:xfrm>
            <a:off x="3456059" y="48041"/>
            <a:ext cx="1080000" cy="2520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/>
              <a:t>Marchandise</a:t>
            </a:r>
          </a:p>
          <a:p>
            <a:pPr algn="ctr"/>
            <a:endParaRPr lang="fr-FR" sz="1100" b="1"/>
          </a:p>
        </xdr:txBody>
      </xdr:sp>
      <xdr:sp macro="" textlink="">
        <xdr:nvSpPr>
          <xdr:cNvPr id="10" name="Rectangle : coins arrondis 9">
            <a:extLst>
              <a:ext uri="{FF2B5EF4-FFF2-40B4-BE49-F238E27FC236}">
                <a16:creationId xmlns:a16="http://schemas.microsoft.com/office/drawing/2014/main" id="{9EA9DDC5-B326-860D-319B-8B73C11BDFDE}"/>
              </a:ext>
            </a:extLst>
          </xdr:cNvPr>
          <xdr:cNvSpPr/>
        </xdr:nvSpPr>
        <xdr:spPr>
          <a:xfrm>
            <a:off x="5845868" y="48041"/>
            <a:ext cx="1219198" cy="2520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/>
              <a:t>Tableau de bord</a:t>
            </a:r>
          </a:p>
          <a:p>
            <a:pPr algn="ctr"/>
            <a:endParaRPr lang="fr-FR" sz="1100" b="1"/>
          </a:p>
        </xdr:txBody>
      </xdr:sp>
      <xdr:sp macro="" textlink="">
        <xdr:nvSpPr>
          <xdr:cNvPr id="11" name="Rectangle : coins arrondis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79C3439-A335-03CF-871B-A8F5C279E3F9}"/>
              </a:ext>
            </a:extLst>
          </xdr:cNvPr>
          <xdr:cNvSpPr/>
        </xdr:nvSpPr>
        <xdr:spPr>
          <a:xfrm>
            <a:off x="4650964" y="48041"/>
            <a:ext cx="1080000" cy="2520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/>
              <a:t>Inventaire</a:t>
            </a:r>
          </a:p>
          <a:p>
            <a:pPr algn="ctr"/>
            <a:endParaRPr lang="fr-FR" sz="1100" b="1"/>
          </a:p>
        </xdr:txBody>
      </xdr:sp>
    </xdr:grp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tatue" xr10:uid="{C1568FEF-1473-4AF6-8A5E-9DA73776C2B0}" sourceName="Statue">
  <extLst>
    <x:ext xmlns:x15="http://schemas.microsoft.com/office/spreadsheetml/2010/11/main" uri="{2F2917AC-EB37-4324-AD4E-5DD8C200BD13}">
      <x15:tableSlicerCache tableId="3" column="10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tatue" xr10:uid="{85DB3CC4-CBC6-4FF8-934C-7857B8CB6CCF}" cache="Segment_Statue" caption="Statue" columnCount="2" showCaption="0" style="SlicerStyleDark5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827B9B1-1EB5-4070-BF27-4776D6D1B73B}" name="entree_sortie" displayName="entree_sortie" ref="A16:J29" totalsRowShown="0" headerRowDxfId="44" dataDxfId="16">
  <autoFilter ref="A16:J29" xr:uid="{9827B9B1-1EB5-4070-BF27-4776D6D1B73B}"/>
  <tableColumns count="10">
    <tableColumn id="1" xr3:uid="{7211E341-98BA-41E0-B83D-4578433F27C9}" name="N°" dataDxfId="26"/>
    <tableColumn id="2" xr3:uid="{FBF0682B-9865-4475-A64A-2444367066BC}" name="DATE" dataDxfId="25"/>
    <tableColumn id="3" xr3:uid="{9E70B278-443C-4C1D-A6CE-ABF5E0357F62}" name="Opération" dataDxfId="24"/>
    <tableColumn id="4" xr3:uid="{890794FE-8AC6-4F19-AE28-C316B32DC3B2}" name="Réf" dataDxfId="23"/>
    <tableColumn id="5" xr3:uid="{9B4A7591-05C6-4D68-9691-DBDFAF434614}" name="Désignation" dataDxfId="22"/>
    <tableColumn id="6" xr3:uid="{F077C613-F108-4EF4-AD5C-18101C62CC58}" name="Catégorie" dataDxfId="21"/>
    <tableColumn id="7" xr3:uid="{FE178311-4579-4FF0-850E-DA8EA86B811E}" name="Unité" dataDxfId="20"/>
    <tableColumn id="8" xr3:uid="{08C45DBE-55F4-42B7-A8F1-CBFA9B86C0CE}" name="PU" dataDxfId="19" dataCellStyle="Milliers"/>
    <tableColumn id="9" xr3:uid="{01A57AD6-48AB-4A2E-8F7C-90DB7574F922}" name="Q" dataDxfId="18"/>
    <tableColumn id="10" xr3:uid="{2E2CC920-D79D-44CA-85D1-C22AFF0AFB00}" name="Total" dataDxfId="17" dataCellStyle="Millier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E1C795-90CB-4F50-BACB-E72675586857}" name="Marchandise" displayName="Marchandise" ref="B9:H22" totalsRowShown="0" headerRowDxfId="43" dataDxfId="41" headerRowBorderDxfId="42" tableBorderDxfId="40" totalsRowBorderDxfId="39">
  <autoFilter ref="B9:H22" xr:uid="{FFE1C795-90CB-4F50-BACB-E72675586857}"/>
  <tableColumns count="7">
    <tableColumn id="1" xr3:uid="{00F20F72-234B-4138-AE61-27344E4A82FF}" name="Référence" dataDxfId="38"/>
    <tableColumn id="2" xr3:uid="{FF752F5B-C56C-4AA7-A540-5FD9F76C0F0D}" name="Désignation" dataDxfId="37"/>
    <tableColumn id="3" xr3:uid="{255A15BB-2686-417D-822E-0399D9197E13}" name="Catégorie" dataDxfId="36"/>
    <tableColumn id="4" xr3:uid="{4A0AC400-1EB9-487C-9618-A1AEDA8796FB}" name="Unité" dataDxfId="27"/>
    <tableColumn id="5" xr3:uid="{CFD15D9C-D431-4C40-8EC4-4C8C218590AA}" name="Seuil d'alerte" dataDxfId="35"/>
    <tableColumn id="6" xr3:uid="{C31FB0BF-8A9A-4077-B21B-6399615FA329}" name="Stock initial" dataDxfId="34"/>
    <tableColumn id="7" xr3:uid="{7880B35D-9921-4601-B401-0C6FC58E3D86}" name="P/U" dataDxfId="33" dataCellStyle="Milli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449224-1E6B-4BB7-B435-0127A1539415}" name="Inventaire" displayName="Inventaire" ref="A9:J22" totalsRowShown="0" headerRowDxfId="32" dataDxfId="30" headerRowBorderDxfId="31" tableBorderDxfId="29" totalsRowBorderDxfId="28">
  <autoFilter ref="A9:J22" xr:uid="{23449224-1E6B-4BB7-B435-0127A1539415}"/>
  <tableColumns count="10">
    <tableColumn id="1" xr3:uid="{7884F215-FD7E-484E-911E-4E4C27456AA1}" name="Référence" dataDxfId="15">
      <calculatedColumnFormula>Marchandise[[#This Row],[Référence]]</calculatedColumnFormula>
    </tableColumn>
    <tableColumn id="2" xr3:uid="{4411FCC6-C302-4D1A-95B6-3C390DFCAB79}" name="Désignation" dataDxfId="14">
      <calculatedColumnFormula>VLOOKUP(Inventaire[[#This Row],[Référence]],Marchandise[],2,0)</calculatedColumnFormula>
    </tableColumn>
    <tableColumn id="3" xr3:uid="{0D54530D-6D75-4A65-80B3-671BD5EDEC74}" name="Catégorie" dataDxfId="13">
      <calculatedColumnFormula>VLOOKUP(Inventaire[[#This Row],[Référence]],Marchandise[],3,0)</calculatedColumnFormula>
    </tableColumn>
    <tableColumn id="4" xr3:uid="{AEC71592-EE09-42FE-A5E3-A9B1CC729118}" name="Unité" dataDxfId="12">
      <calculatedColumnFormula>VLOOKUP(Inventaire[[#This Row],[Référence]],Marchandise[],4,0)</calculatedColumnFormula>
    </tableColumn>
    <tableColumn id="5" xr3:uid="{09B5DB33-31BB-4839-A781-77A1B02735F0}" name="Seuil d'alerte" dataDxfId="11">
      <calculatedColumnFormula>VLOOKUP(Inventaire[[#This Row],[Référence]],Marchandise[],5,0)</calculatedColumnFormula>
    </tableColumn>
    <tableColumn id="6" xr3:uid="{FF89815F-DBD5-4A39-B649-B9C8196ABE09}" name="Stock initial" dataDxfId="10">
      <calculatedColumnFormula>VLOOKUP(Inventaire[[#This Row],[Référence]],Marchandise[],6,0)</calculatedColumnFormula>
    </tableColumn>
    <tableColumn id="7" xr3:uid="{EC474512-FABD-44A3-8793-DF5DD5586CF5}" name="Entrée" dataDxfId="9">
      <calculatedColumnFormula>SUMIFS(entree_sortie[Q],entree_sortie[Opération],"entrée",entree_sortie[Réf],Inventaire[[#This Row],[Référence]])</calculatedColumnFormula>
    </tableColumn>
    <tableColumn id="8" xr3:uid="{9268B56D-8C1F-4B45-A5F0-12A43797AC02}" name="Sortie" dataDxfId="8">
      <calculatedColumnFormula>SUMIFS(entree_sortie[Q],entree_sortie[Opération],"sortie",entree_sortie[Réf],Inventaire[[#This Row],[Référence]])</calculatedColumnFormula>
    </tableColumn>
    <tableColumn id="9" xr3:uid="{EE372866-E903-4DD6-A05C-ADCC0A88FF49}" name="Stock final" dataDxfId="7">
      <calculatedColumnFormula>Inventaire[[#This Row],[Stock initial]]+Inventaire[[#This Row],[Entrée]]-Inventaire[[#This Row],[Sortie]]</calculatedColumnFormula>
    </tableColumn>
    <tableColumn id="10" xr3:uid="{22FF790B-E1F7-46D0-97A0-7D3620CE4EAA}" name="Statue" dataDxfId="6">
      <calculatedColumnFormula>IF(Inventaire[[#This Row],[Stock final]]&gt;Inventaire[[#This Row],[Seuil d''alerte]],"stock disponible","achat stock")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P29"/>
  <sheetViews>
    <sheetView showGridLines="0" tabSelected="1" zoomScale="115" zoomScaleNormal="115" workbookViewId="0">
      <selection activeCell="E11" sqref="E11"/>
    </sheetView>
  </sheetViews>
  <sheetFormatPr baseColWidth="10" defaultColWidth="9.140625" defaultRowHeight="15" x14ac:dyDescent="0.25"/>
  <cols>
    <col min="1" max="10" width="14" style="1" customWidth="1"/>
  </cols>
  <sheetData>
    <row r="1" spans="1:10" x14ac:dyDescent="0.25">
      <c r="A1" s="14" t="s">
        <v>55</v>
      </c>
      <c r="B1" s="14"/>
      <c r="C1" s="14"/>
      <c r="D1" s="14"/>
      <c r="E1" s="14"/>
      <c r="F1" s="14"/>
      <c r="G1" s="14"/>
      <c r="H1" s="14"/>
      <c r="I1" s="14"/>
      <c r="J1" s="14"/>
    </row>
    <row r="2" spans="1:10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</row>
    <row r="4" spans="1:10" ht="19.5" thickBot="1" x14ac:dyDescent="0.35">
      <c r="A4" s="2" t="s">
        <v>0</v>
      </c>
    </row>
    <row r="5" spans="1:10" ht="15.75" thickTop="1" x14ac:dyDescent="0.25"/>
    <row r="6" spans="1:10" x14ac:dyDescent="0.25">
      <c r="A6" s="13" t="s">
        <v>16</v>
      </c>
      <c r="B6" s="17">
        <f>MAX(entree_sortie[N°])+1</f>
        <v>17</v>
      </c>
      <c r="C6" s="17"/>
      <c r="D6" s="17"/>
      <c r="E6" s="17"/>
      <c r="F6" s="13" t="s">
        <v>6</v>
      </c>
      <c r="G6" s="17" t="str">
        <f>IFERROR(VLOOKUP(B9,Marchandise[],3,0),"")</f>
        <v/>
      </c>
      <c r="H6" s="17"/>
      <c r="I6" s="17"/>
      <c r="J6" s="17"/>
    </row>
    <row r="7" spans="1:10" x14ac:dyDescent="0.25">
      <c r="A7" s="13" t="s">
        <v>17</v>
      </c>
      <c r="B7" s="18">
        <f ca="1">TODAY()</f>
        <v>45913</v>
      </c>
      <c r="C7" s="17"/>
      <c r="D7" s="17"/>
      <c r="E7" s="17"/>
      <c r="F7" s="13" t="s">
        <v>7</v>
      </c>
      <c r="G7" s="17" t="str">
        <f>IFERROR(VLOOKUP(B9,Marchandise[],4,0),"")</f>
        <v/>
      </c>
      <c r="H7" s="17"/>
      <c r="I7" s="17"/>
      <c r="J7" s="17"/>
    </row>
    <row r="8" spans="1:10" x14ac:dyDescent="0.25">
      <c r="A8" s="13" t="s">
        <v>18</v>
      </c>
      <c r="B8" s="17"/>
      <c r="C8" s="17"/>
      <c r="D8" s="17"/>
      <c r="E8" s="17"/>
      <c r="F8" s="13" t="s">
        <v>20</v>
      </c>
      <c r="G8" s="19"/>
      <c r="H8" s="19"/>
      <c r="I8" s="19"/>
      <c r="J8" s="19"/>
    </row>
    <row r="9" spans="1:10" x14ac:dyDescent="0.25">
      <c r="A9" s="13" t="s">
        <v>19</v>
      </c>
      <c r="B9" s="17"/>
      <c r="C9" s="17"/>
      <c r="D9" s="17"/>
      <c r="E9" s="17"/>
      <c r="F9" s="13" t="s">
        <v>21</v>
      </c>
      <c r="G9" s="17"/>
      <c r="H9" s="17"/>
      <c r="I9" s="17"/>
      <c r="J9" s="17"/>
    </row>
    <row r="10" spans="1:10" x14ac:dyDescent="0.25">
      <c r="A10" s="13" t="s">
        <v>5</v>
      </c>
      <c r="B10" s="17" t="str">
        <f>IFERROR(VLOOKUP(B9,Marchandise[],2,0),"")</f>
        <v/>
      </c>
      <c r="C10" s="17"/>
      <c r="D10" s="17"/>
      <c r="E10" s="17"/>
      <c r="F10" s="13" t="s">
        <v>22</v>
      </c>
      <c r="G10" s="19">
        <f>G8*G9</f>
        <v>0</v>
      </c>
      <c r="H10" s="19"/>
      <c r="I10" s="19"/>
      <c r="J10" s="19"/>
    </row>
    <row r="16" spans="1:10" s="12" customFormat="1" x14ac:dyDescent="0.25">
      <c r="A16" s="3" t="s">
        <v>16</v>
      </c>
      <c r="B16" s="3" t="s">
        <v>17</v>
      </c>
      <c r="C16" s="3" t="s">
        <v>18</v>
      </c>
      <c r="D16" s="3" t="s">
        <v>19</v>
      </c>
      <c r="E16" s="3" t="s">
        <v>5</v>
      </c>
      <c r="F16" s="3" t="s">
        <v>6</v>
      </c>
      <c r="G16" s="3" t="s">
        <v>7</v>
      </c>
      <c r="H16" s="20" t="s">
        <v>20</v>
      </c>
      <c r="I16" s="3" t="s">
        <v>21</v>
      </c>
      <c r="J16" s="3" t="s">
        <v>11</v>
      </c>
    </row>
    <row r="17" spans="1:16" x14ac:dyDescent="0.25">
      <c r="A17" s="22">
        <v>1</v>
      </c>
      <c r="B17" s="23">
        <v>45913</v>
      </c>
      <c r="C17" s="22" t="s">
        <v>44</v>
      </c>
      <c r="D17" s="22" t="s">
        <v>23</v>
      </c>
      <c r="E17" s="22" t="s">
        <v>34</v>
      </c>
      <c r="F17" s="22" t="s">
        <v>31</v>
      </c>
      <c r="G17" s="22" t="s">
        <v>41</v>
      </c>
      <c r="H17" s="24">
        <v>150000</v>
      </c>
      <c r="I17" s="22">
        <v>2</v>
      </c>
      <c r="J17" s="24">
        <v>300000</v>
      </c>
      <c r="P17" s="21"/>
    </row>
    <row r="18" spans="1:16" x14ac:dyDescent="0.25">
      <c r="A18" s="22">
        <v>2</v>
      </c>
      <c r="B18" s="23">
        <v>45913</v>
      </c>
      <c r="C18" s="22" t="s">
        <v>43</v>
      </c>
      <c r="D18" s="22" t="s">
        <v>27</v>
      </c>
      <c r="E18" s="22" t="s">
        <v>36</v>
      </c>
      <c r="F18" s="22" t="s">
        <v>31</v>
      </c>
      <c r="G18" s="22" t="s">
        <v>41</v>
      </c>
      <c r="H18" s="24">
        <v>180000</v>
      </c>
      <c r="I18" s="22">
        <v>2</v>
      </c>
      <c r="J18" s="24">
        <v>360000</v>
      </c>
    </row>
    <row r="19" spans="1:16" x14ac:dyDescent="0.25">
      <c r="A19" s="22">
        <v>3</v>
      </c>
      <c r="B19" s="23">
        <v>45913</v>
      </c>
      <c r="C19" s="22" t="s">
        <v>44</v>
      </c>
      <c r="D19" s="22" t="s">
        <v>25</v>
      </c>
      <c r="E19" s="22" t="s">
        <v>40</v>
      </c>
      <c r="F19" s="22" t="s">
        <v>33</v>
      </c>
      <c r="G19" s="22" t="s">
        <v>41</v>
      </c>
      <c r="H19" s="24">
        <v>160000</v>
      </c>
      <c r="I19" s="22">
        <v>4</v>
      </c>
      <c r="J19" s="24">
        <v>640000</v>
      </c>
    </row>
    <row r="20" spans="1:16" x14ac:dyDescent="0.25">
      <c r="A20" s="22">
        <v>5</v>
      </c>
      <c r="B20" s="23">
        <v>45913</v>
      </c>
      <c r="C20" s="22" t="s">
        <v>43</v>
      </c>
      <c r="D20" s="22" t="s">
        <v>24</v>
      </c>
      <c r="E20" s="22" t="s">
        <v>38</v>
      </c>
      <c r="F20" s="22" t="s">
        <v>32</v>
      </c>
      <c r="G20" s="22" t="s">
        <v>41</v>
      </c>
      <c r="H20" s="24">
        <v>110000</v>
      </c>
      <c r="I20" s="22">
        <v>2</v>
      </c>
      <c r="J20" s="24">
        <v>220000</v>
      </c>
    </row>
    <row r="21" spans="1:16" x14ac:dyDescent="0.25">
      <c r="A21" s="22">
        <v>6</v>
      </c>
      <c r="B21" s="23">
        <v>45913</v>
      </c>
      <c r="C21" s="22" t="s">
        <v>44</v>
      </c>
      <c r="D21" s="22" t="s">
        <v>28</v>
      </c>
      <c r="E21" s="22" t="s">
        <v>37</v>
      </c>
      <c r="F21" s="22" t="s">
        <v>32</v>
      </c>
      <c r="G21" s="22" t="s">
        <v>41</v>
      </c>
      <c r="H21" s="24">
        <v>110000</v>
      </c>
      <c r="I21" s="22">
        <v>3</v>
      </c>
      <c r="J21" s="24">
        <v>330000</v>
      </c>
    </row>
    <row r="22" spans="1:16" x14ac:dyDescent="0.25">
      <c r="A22" s="25">
        <v>9</v>
      </c>
      <c r="B22" s="26">
        <v>45913</v>
      </c>
      <c r="C22" s="25" t="s">
        <v>43</v>
      </c>
      <c r="D22" s="25" t="s">
        <v>26</v>
      </c>
      <c r="E22" s="25" t="s">
        <v>35</v>
      </c>
      <c r="F22" s="25" t="s">
        <v>31</v>
      </c>
      <c r="G22" s="25" t="s">
        <v>41</v>
      </c>
      <c r="H22" s="27">
        <v>100000</v>
      </c>
      <c r="I22" s="25">
        <v>4</v>
      </c>
      <c r="J22" s="27">
        <v>400000</v>
      </c>
    </row>
    <row r="23" spans="1:16" x14ac:dyDescent="0.25">
      <c r="A23" s="25">
        <v>10</v>
      </c>
      <c r="B23" s="26">
        <v>45913</v>
      </c>
      <c r="C23" s="25" t="s">
        <v>44</v>
      </c>
      <c r="D23" s="25" t="s">
        <v>27</v>
      </c>
      <c r="E23" s="25" t="s">
        <v>36</v>
      </c>
      <c r="F23" s="25" t="s">
        <v>31</v>
      </c>
      <c r="G23" s="25" t="s">
        <v>41</v>
      </c>
      <c r="H23" s="27">
        <v>80000</v>
      </c>
      <c r="I23" s="25">
        <v>2</v>
      </c>
      <c r="J23" s="27">
        <v>160000</v>
      </c>
    </row>
    <row r="24" spans="1:16" x14ac:dyDescent="0.25">
      <c r="A24" s="25">
        <v>11</v>
      </c>
      <c r="B24" s="26">
        <v>45913</v>
      </c>
      <c r="C24" s="25" t="s">
        <v>43</v>
      </c>
      <c r="D24" s="25" t="s">
        <v>25</v>
      </c>
      <c r="E24" s="25" t="s">
        <v>40</v>
      </c>
      <c r="F24" s="25" t="s">
        <v>33</v>
      </c>
      <c r="G24" s="25" t="s">
        <v>41</v>
      </c>
      <c r="H24" s="27">
        <v>200000</v>
      </c>
      <c r="I24" s="25">
        <v>4</v>
      </c>
      <c r="J24" s="27">
        <v>800000</v>
      </c>
    </row>
    <row r="25" spans="1:16" x14ac:dyDescent="0.25">
      <c r="A25" s="25">
        <v>12</v>
      </c>
      <c r="B25" s="26">
        <v>45913</v>
      </c>
      <c r="C25" s="25" t="s">
        <v>44</v>
      </c>
      <c r="D25" s="25" t="s">
        <v>27</v>
      </c>
      <c r="E25" s="25" t="s">
        <v>36</v>
      </c>
      <c r="F25" s="25" t="s">
        <v>31</v>
      </c>
      <c r="G25" s="25" t="s">
        <v>41</v>
      </c>
      <c r="H25" s="27">
        <v>110000</v>
      </c>
      <c r="I25" s="25">
        <v>5</v>
      </c>
      <c r="J25" s="27">
        <v>550000</v>
      </c>
    </row>
    <row r="26" spans="1:16" x14ac:dyDescent="0.25">
      <c r="A26" s="25">
        <v>13</v>
      </c>
      <c r="B26" s="26">
        <v>45913</v>
      </c>
      <c r="C26" s="25" t="s">
        <v>43</v>
      </c>
      <c r="D26" s="25" t="s">
        <v>26</v>
      </c>
      <c r="E26" s="25" t="s">
        <v>35</v>
      </c>
      <c r="F26" s="25" t="s">
        <v>31</v>
      </c>
      <c r="G26" s="25" t="s">
        <v>41</v>
      </c>
      <c r="H26" s="27">
        <v>110000</v>
      </c>
      <c r="I26" s="25">
        <v>4</v>
      </c>
      <c r="J26" s="27">
        <v>440000</v>
      </c>
    </row>
    <row r="27" spans="1:16" x14ac:dyDescent="0.25">
      <c r="A27" s="25">
        <v>14</v>
      </c>
      <c r="B27" s="26">
        <v>45913</v>
      </c>
      <c r="C27" s="25" t="s">
        <v>44</v>
      </c>
      <c r="D27" s="25" t="s">
        <v>26</v>
      </c>
      <c r="E27" s="25" t="s">
        <v>35</v>
      </c>
      <c r="F27" s="25" t="s">
        <v>31</v>
      </c>
      <c r="G27" s="25" t="s">
        <v>41</v>
      </c>
      <c r="H27" s="27">
        <v>100000</v>
      </c>
      <c r="I27" s="25">
        <v>5</v>
      </c>
      <c r="J27" s="27">
        <v>500000</v>
      </c>
    </row>
    <row r="28" spans="1:16" x14ac:dyDescent="0.25">
      <c r="A28" s="25">
        <v>15</v>
      </c>
      <c r="B28" s="26">
        <v>45913</v>
      </c>
      <c r="C28" s="25" t="s">
        <v>44</v>
      </c>
      <c r="D28" s="25" t="s">
        <v>29</v>
      </c>
      <c r="E28" s="25" t="s">
        <v>39</v>
      </c>
      <c r="F28" s="25" t="s">
        <v>33</v>
      </c>
      <c r="G28" s="25" t="s">
        <v>41</v>
      </c>
      <c r="H28" s="27">
        <v>250000</v>
      </c>
      <c r="I28" s="25">
        <v>2</v>
      </c>
      <c r="J28" s="27">
        <v>500000</v>
      </c>
    </row>
    <row r="29" spans="1:16" x14ac:dyDescent="0.25">
      <c r="A29" s="25">
        <v>16</v>
      </c>
      <c r="B29" s="26">
        <v>45913</v>
      </c>
      <c r="C29" s="25" t="s">
        <v>43</v>
      </c>
      <c r="D29" s="25" t="s">
        <v>28</v>
      </c>
      <c r="E29" s="25" t="s">
        <v>37</v>
      </c>
      <c r="F29" s="25" t="s">
        <v>32</v>
      </c>
      <c r="G29" s="25" t="s">
        <v>41</v>
      </c>
      <c r="H29" s="27">
        <v>120000</v>
      </c>
      <c r="I29" s="25">
        <v>3</v>
      </c>
      <c r="J29" s="27">
        <v>360000</v>
      </c>
    </row>
  </sheetData>
  <mergeCells count="11">
    <mergeCell ref="G10:J10"/>
    <mergeCell ref="A1:J2"/>
    <mergeCell ref="B6:E6"/>
    <mergeCell ref="B7:E7"/>
    <mergeCell ref="B8:E8"/>
    <mergeCell ref="B9:E9"/>
    <mergeCell ref="B10:E10"/>
    <mergeCell ref="G6:J6"/>
    <mergeCell ref="G7:J7"/>
    <mergeCell ref="G8:J8"/>
    <mergeCell ref="G9:J9"/>
  </mergeCells>
  <dataValidations count="1">
    <dataValidation type="list" allowBlank="1" showInputMessage="1" showErrorMessage="1" sqref="B8:E8" xr:uid="{E323A9D4-D5DA-4B31-92B4-AE3B237CBF0C}">
      <formula1>"entrée,sortie"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5A0DF91-C860-4EA3-B013-DED5CA619F72}">
          <x14:formula1>
            <xm:f>Marchandise!$B$10:$B$17</xm:f>
          </x14:formula1>
          <xm:sqref>B9:E9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85C65-E10B-44B6-990E-DDF79CC274C8}">
  <sheetPr codeName="Feuil2"/>
  <dimension ref="A1:J22"/>
  <sheetViews>
    <sheetView showGridLines="0" zoomScale="115" zoomScaleNormal="115" workbookViewId="0">
      <selection activeCell="D7" sqref="D7"/>
    </sheetView>
  </sheetViews>
  <sheetFormatPr baseColWidth="10" defaultColWidth="9.140625" defaultRowHeight="15" x14ac:dyDescent="0.25"/>
  <cols>
    <col min="1" max="1" width="9.140625" style="1"/>
    <col min="2" max="2" width="12.140625" style="1" customWidth="1"/>
    <col min="3" max="3" width="13.85546875" style="1" bestFit="1" customWidth="1"/>
    <col min="4" max="5" width="11" style="1" customWidth="1"/>
    <col min="6" max="6" width="15.140625" style="1" customWidth="1"/>
    <col min="7" max="7" width="13" style="1" customWidth="1"/>
    <col min="8" max="8" width="12.28515625" style="1" bestFit="1" customWidth="1"/>
    <col min="9" max="9" width="11" style="1" customWidth="1"/>
    <col min="10" max="10" width="9.140625" style="1"/>
  </cols>
  <sheetData>
    <row r="1" spans="1:10" x14ac:dyDescent="0.25">
      <c r="A1" s="14" t="s">
        <v>56</v>
      </c>
      <c r="B1" s="14"/>
      <c r="C1" s="14"/>
      <c r="D1" s="14"/>
      <c r="E1" s="14"/>
      <c r="F1" s="14"/>
      <c r="G1" s="14"/>
      <c r="H1" s="14"/>
      <c r="I1" s="14"/>
      <c r="J1" s="14"/>
    </row>
    <row r="2" spans="1:10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</row>
    <row r="4" spans="1:10" ht="19.5" thickBot="1" x14ac:dyDescent="0.35">
      <c r="A4" s="2" t="s">
        <v>3</v>
      </c>
    </row>
    <row r="5" spans="1:10" ht="15.75" thickTop="1" x14ac:dyDescent="0.25"/>
    <row r="9" spans="1:10" x14ac:dyDescent="0.25">
      <c r="B9" s="4" t="s">
        <v>4</v>
      </c>
      <c r="C9" s="5" t="s">
        <v>5</v>
      </c>
      <c r="D9" s="5" t="s">
        <v>6</v>
      </c>
      <c r="E9" s="5" t="s">
        <v>7</v>
      </c>
      <c r="F9" s="5" t="s">
        <v>8</v>
      </c>
      <c r="G9" s="5" t="s">
        <v>9</v>
      </c>
      <c r="H9" s="5" t="s">
        <v>10</v>
      </c>
    </row>
    <row r="10" spans="1:10" x14ac:dyDescent="0.25">
      <c r="B10" s="15" t="s">
        <v>23</v>
      </c>
      <c r="C10" s="7" t="s">
        <v>34</v>
      </c>
      <c r="D10" s="7" t="s">
        <v>31</v>
      </c>
      <c r="E10" s="7" t="s">
        <v>41</v>
      </c>
      <c r="F10" s="7">
        <v>10</v>
      </c>
      <c r="G10" s="7">
        <v>20</v>
      </c>
      <c r="H10" s="16">
        <v>150000</v>
      </c>
    </row>
    <row r="11" spans="1:10" x14ac:dyDescent="0.25">
      <c r="B11" s="15" t="s">
        <v>24</v>
      </c>
      <c r="C11" s="7" t="s">
        <v>38</v>
      </c>
      <c r="D11" s="7" t="s">
        <v>32</v>
      </c>
      <c r="E11" s="7" t="s">
        <v>41</v>
      </c>
      <c r="F11" s="7">
        <v>5</v>
      </c>
      <c r="G11" s="7">
        <v>15</v>
      </c>
      <c r="H11" s="16">
        <v>150000</v>
      </c>
    </row>
    <row r="12" spans="1:10" x14ac:dyDescent="0.25">
      <c r="B12" s="15" t="s">
        <v>25</v>
      </c>
      <c r="C12" s="7" t="s">
        <v>40</v>
      </c>
      <c r="D12" s="7" t="s">
        <v>33</v>
      </c>
      <c r="E12" s="7" t="s">
        <v>41</v>
      </c>
      <c r="F12" s="7">
        <v>10</v>
      </c>
      <c r="G12" s="7">
        <v>18</v>
      </c>
      <c r="H12" s="16">
        <v>150000</v>
      </c>
    </row>
    <row r="13" spans="1:10" x14ac:dyDescent="0.25">
      <c r="B13" s="15" t="s">
        <v>26</v>
      </c>
      <c r="C13" s="7" t="s">
        <v>35</v>
      </c>
      <c r="D13" s="7" t="s">
        <v>31</v>
      </c>
      <c r="E13" s="7" t="s">
        <v>41</v>
      </c>
      <c r="F13" s="7">
        <v>15</v>
      </c>
      <c r="G13" s="7">
        <v>20</v>
      </c>
      <c r="H13" s="16">
        <v>150000</v>
      </c>
    </row>
    <row r="14" spans="1:10" x14ac:dyDescent="0.25">
      <c r="B14" s="15" t="s">
        <v>27</v>
      </c>
      <c r="C14" s="7" t="s">
        <v>36</v>
      </c>
      <c r="D14" s="7" t="s">
        <v>31</v>
      </c>
      <c r="E14" s="7" t="s">
        <v>41</v>
      </c>
      <c r="F14" s="7">
        <v>7</v>
      </c>
      <c r="G14" s="7">
        <v>10</v>
      </c>
      <c r="H14" s="16">
        <v>150000</v>
      </c>
    </row>
    <row r="15" spans="1:10" x14ac:dyDescent="0.25">
      <c r="B15" s="15" t="s">
        <v>28</v>
      </c>
      <c r="C15" s="7" t="s">
        <v>37</v>
      </c>
      <c r="D15" s="7" t="s">
        <v>32</v>
      </c>
      <c r="E15" s="7" t="s">
        <v>41</v>
      </c>
      <c r="F15" s="7">
        <v>10</v>
      </c>
      <c r="G15" s="7">
        <v>16</v>
      </c>
      <c r="H15" s="16">
        <v>150000</v>
      </c>
    </row>
    <row r="16" spans="1:10" x14ac:dyDescent="0.25">
      <c r="B16" s="15" t="s">
        <v>29</v>
      </c>
      <c r="C16" s="7" t="s">
        <v>39</v>
      </c>
      <c r="D16" s="7" t="s">
        <v>33</v>
      </c>
      <c r="E16" s="7" t="s">
        <v>41</v>
      </c>
      <c r="F16" s="7">
        <v>12</v>
      </c>
      <c r="G16" s="7">
        <v>25</v>
      </c>
      <c r="H16" s="16">
        <v>150000</v>
      </c>
    </row>
    <row r="17" spans="2:8" x14ac:dyDescent="0.25">
      <c r="B17" s="15" t="s">
        <v>30</v>
      </c>
      <c r="C17" s="9" t="s">
        <v>42</v>
      </c>
      <c r="D17" s="7" t="s">
        <v>32</v>
      </c>
      <c r="E17" s="7" t="s">
        <v>41</v>
      </c>
      <c r="F17" s="9">
        <v>20</v>
      </c>
      <c r="G17" s="9">
        <v>10</v>
      </c>
      <c r="H17" s="16">
        <v>150000</v>
      </c>
    </row>
    <row r="18" spans="2:8" x14ac:dyDescent="0.25">
      <c r="B18" s="15" t="s">
        <v>45</v>
      </c>
      <c r="C18" s="9" t="s">
        <v>50</v>
      </c>
      <c r="D18" s="7" t="s">
        <v>32</v>
      </c>
      <c r="E18" s="7" t="s">
        <v>41</v>
      </c>
      <c r="F18" s="9">
        <v>20</v>
      </c>
      <c r="G18" s="9">
        <v>12</v>
      </c>
      <c r="H18" s="16">
        <v>150000</v>
      </c>
    </row>
    <row r="19" spans="2:8" x14ac:dyDescent="0.25">
      <c r="B19" s="15" t="s">
        <v>46</v>
      </c>
      <c r="C19" s="9" t="s">
        <v>51</v>
      </c>
      <c r="D19" s="7" t="s">
        <v>32</v>
      </c>
      <c r="E19" s="7" t="s">
        <v>41</v>
      </c>
      <c r="F19" s="9">
        <v>20</v>
      </c>
      <c r="G19" s="9">
        <v>14</v>
      </c>
      <c r="H19" s="16">
        <v>150000</v>
      </c>
    </row>
    <row r="20" spans="2:8" x14ac:dyDescent="0.25">
      <c r="B20" s="15" t="s">
        <v>47</v>
      </c>
      <c r="C20" s="9" t="s">
        <v>52</v>
      </c>
      <c r="D20" s="7" t="s">
        <v>32</v>
      </c>
      <c r="E20" s="7" t="s">
        <v>41</v>
      </c>
      <c r="F20" s="9">
        <v>20</v>
      </c>
      <c r="G20" s="9">
        <v>14</v>
      </c>
      <c r="H20" s="16">
        <v>150000</v>
      </c>
    </row>
    <row r="21" spans="2:8" x14ac:dyDescent="0.25">
      <c r="B21" s="15" t="s">
        <v>48</v>
      </c>
      <c r="C21" s="9" t="s">
        <v>53</v>
      </c>
      <c r="D21" s="7" t="s">
        <v>32</v>
      </c>
      <c r="E21" s="7" t="s">
        <v>41</v>
      </c>
      <c r="F21" s="9">
        <v>20</v>
      </c>
      <c r="G21" s="9">
        <v>15</v>
      </c>
      <c r="H21" s="16">
        <v>150000</v>
      </c>
    </row>
    <row r="22" spans="2:8" x14ac:dyDescent="0.25">
      <c r="B22" s="15" t="s">
        <v>49</v>
      </c>
      <c r="C22" s="9" t="s">
        <v>54</v>
      </c>
      <c r="D22" s="7" t="s">
        <v>32</v>
      </c>
      <c r="E22" s="7" t="s">
        <v>41</v>
      </c>
      <c r="F22" s="9">
        <v>20</v>
      </c>
      <c r="G22" s="9">
        <v>11</v>
      </c>
      <c r="H22" s="16">
        <v>150000</v>
      </c>
    </row>
  </sheetData>
  <mergeCells count="1">
    <mergeCell ref="A1:J2"/>
  </mergeCells>
  <phoneticPr fontId="6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26612-2A5F-4FF6-9738-92F04404FBB3}">
  <sheetPr codeName="Feuil3"/>
  <dimension ref="A1:J22"/>
  <sheetViews>
    <sheetView showGridLines="0" zoomScale="115" zoomScaleNormal="115" workbookViewId="0">
      <selection activeCell="B5" sqref="B5"/>
    </sheetView>
  </sheetViews>
  <sheetFormatPr baseColWidth="10" defaultColWidth="9.140625" defaultRowHeight="15" x14ac:dyDescent="0.25"/>
  <cols>
    <col min="1" max="1" width="23.140625" style="1" bestFit="1" customWidth="1"/>
    <col min="2" max="2" width="13.85546875" style="1" bestFit="1" customWidth="1"/>
    <col min="3" max="3" width="11.85546875" style="1" bestFit="1" customWidth="1"/>
    <col min="4" max="4" width="8.28515625" style="1" bestFit="1" customWidth="1"/>
    <col min="5" max="5" width="15.140625" style="1" bestFit="1" customWidth="1"/>
    <col min="6" max="6" width="13.5703125" style="1" bestFit="1" customWidth="1"/>
    <col min="7" max="7" width="9.140625" style="1" bestFit="1" customWidth="1"/>
    <col min="8" max="8" width="8.5703125" style="1" bestFit="1" customWidth="1"/>
    <col min="9" max="9" width="12.42578125" style="1" bestFit="1" customWidth="1"/>
    <col min="10" max="10" width="19.7109375" style="1" customWidth="1"/>
  </cols>
  <sheetData>
    <row r="1" spans="1:10" x14ac:dyDescent="0.25">
      <c r="A1" s="14" t="s">
        <v>1</v>
      </c>
      <c r="B1" s="14"/>
      <c r="C1" s="14"/>
      <c r="D1" s="14"/>
      <c r="E1" s="14"/>
      <c r="F1" s="14"/>
      <c r="G1" s="14"/>
      <c r="H1" s="14"/>
      <c r="I1" s="14"/>
      <c r="J1" s="14"/>
    </row>
    <row r="2" spans="1:10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</row>
    <row r="4" spans="1:10" ht="19.5" thickBot="1" x14ac:dyDescent="0.35">
      <c r="A4" s="2" t="s">
        <v>2</v>
      </c>
    </row>
    <row r="5" spans="1:10" ht="15.75" thickTop="1" x14ac:dyDescent="0.25"/>
    <row r="9" spans="1:10" ht="18" customHeight="1" x14ac:dyDescent="0.25">
      <c r="A9" s="4" t="s">
        <v>4</v>
      </c>
      <c r="B9" s="5" t="s">
        <v>5</v>
      </c>
      <c r="C9" s="5" t="s">
        <v>6</v>
      </c>
      <c r="D9" s="5" t="s">
        <v>7</v>
      </c>
      <c r="E9" s="5" t="s">
        <v>8</v>
      </c>
      <c r="F9" s="5" t="s">
        <v>9</v>
      </c>
      <c r="G9" s="5" t="s">
        <v>12</v>
      </c>
      <c r="H9" s="6" t="s">
        <v>13</v>
      </c>
      <c r="I9" s="5" t="s">
        <v>14</v>
      </c>
      <c r="J9" s="5" t="s">
        <v>15</v>
      </c>
    </row>
    <row r="10" spans="1:10" x14ac:dyDescent="0.25">
      <c r="A10" s="15" t="str">
        <f>Marchandise[[#This Row],[Référence]]</f>
        <v>0001</v>
      </c>
      <c r="B10" s="7" t="str">
        <f>VLOOKUP(Inventaire[[#This Row],[Référence]],Marchandise[],2,0)</f>
        <v>LAPTOP 1</v>
      </c>
      <c r="C10" s="7" t="str">
        <f>VLOOKUP(Inventaire[[#This Row],[Référence]],Marchandise[],3,0)</f>
        <v>Ordinateur</v>
      </c>
      <c r="D10" s="7" t="str">
        <f>VLOOKUP(Inventaire[[#This Row],[Référence]],Marchandise[],4,0)</f>
        <v xml:space="preserve">Pièce </v>
      </c>
      <c r="E10" s="7">
        <f>VLOOKUP(Inventaire[[#This Row],[Référence]],Marchandise[],5,0)</f>
        <v>10</v>
      </c>
      <c r="F10" s="7">
        <f>VLOOKUP(Inventaire[[#This Row],[Référence]],Marchandise[],6,0)</f>
        <v>20</v>
      </c>
      <c r="G10" s="7">
        <f>SUMIFS(entree_sortie[Q],entree_sortie[Opération],"entrée",entree_sortie[Réf],Inventaire[[#This Row],[Référence]])</f>
        <v>0</v>
      </c>
      <c r="H10" s="8">
        <f>SUMIFS(entree_sortie[Q],entree_sortie[Opération],"sortie",entree_sortie[Réf],Inventaire[[#This Row],[Référence]])</f>
        <v>2</v>
      </c>
      <c r="I10" s="11">
        <f>Inventaire[[#This Row],[Stock initial]]+Inventaire[[#This Row],[Entrée]]-Inventaire[[#This Row],[Sortie]]</f>
        <v>18</v>
      </c>
      <c r="J10" s="11" t="str">
        <f>IF(Inventaire[[#This Row],[Stock final]]&gt;Inventaire[[#This Row],[Seuil d''alerte]],"stock disponible","achat stock")</f>
        <v>stock disponible</v>
      </c>
    </row>
    <row r="11" spans="1:10" x14ac:dyDescent="0.25">
      <c r="A11" s="15" t="str">
        <f>Marchandise[[#This Row],[Référence]]</f>
        <v>0002</v>
      </c>
      <c r="B11" s="7" t="str">
        <f>VLOOKUP(Inventaire[[#This Row],[Référence]],Marchandise[],2,0)</f>
        <v>Samsung 1</v>
      </c>
      <c r="C11" s="7" t="str">
        <f>VLOOKUP(Inventaire[[#This Row],[Référence]],Marchandise[],3,0)</f>
        <v>Téléphone</v>
      </c>
      <c r="D11" s="7" t="str">
        <f>VLOOKUP(Inventaire[[#This Row],[Référence]],Marchandise[],4,0)</f>
        <v xml:space="preserve">Pièce </v>
      </c>
      <c r="E11" s="7">
        <f>VLOOKUP(Inventaire[[#This Row],[Référence]],Marchandise[],5,0)</f>
        <v>5</v>
      </c>
      <c r="F11" s="7">
        <f>VLOOKUP(Inventaire[[#This Row],[Référence]],Marchandise[],6,0)</f>
        <v>15</v>
      </c>
      <c r="G11" s="7">
        <f>SUMIFS(entree_sortie[Q],entree_sortie[Opération],"entrée",entree_sortie[Réf],Inventaire[[#This Row],[Référence]])</f>
        <v>2</v>
      </c>
      <c r="H11" s="8">
        <f>SUMIFS(entree_sortie[Q],entree_sortie[Opération],"sortie",entree_sortie[Réf],Inventaire[[#This Row],[Référence]])</f>
        <v>0</v>
      </c>
      <c r="I11" s="7">
        <f>Inventaire[[#This Row],[Stock initial]]+Inventaire[[#This Row],[Entrée]]-Inventaire[[#This Row],[Sortie]]</f>
        <v>17</v>
      </c>
      <c r="J11" s="7" t="str">
        <f>IF(Inventaire[[#This Row],[Stock final]]&gt;Inventaire[[#This Row],[Seuil d''alerte]],"stock disponible","achat stock")</f>
        <v>stock disponible</v>
      </c>
    </row>
    <row r="12" spans="1:10" x14ac:dyDescent="0.25">
      <c r="A12" s="15" t="str">
        <f>Marchandise[[#This Row],[Référence]]</f>
        <v>0003</v>
      </c>
      <c r="B12" s="7" t="str">
        <f>VLOOKUP(Inventaire[[#This Row],[Référence]],Marchandise[],2,0)</f>
        <v>Ipad 1</v>
      </c>
      <c r="C12" s="7" t="str">
        <f>VLOOKUP(Inventaire[[#This Row],[Référence]],Marchandise[],3,0)</f>
        <v>Tablette</v>
      </c>
      <c r="D12" s="7" t="str">
        <f>VLOOKUP(Inventaire[[#This Row],[Référence]],Marchandise[],4,0)</f>
        <v xml:space="preserve">Pièce </v>
      </c>
      <c r="E12" s="7">
        <f>VLOOKUP(Inventaire[[#This Row],[Référence]],Marchandise[],5,0)</f>
        <v>10</v>
      </c>
      <c r="F12" s="7">
        <f>VLOOKUP(Inventaire[[#This Row],[Référence]],Marchandise[],6,0)</f>
        <v>18</v>
      </c>
      <c r="G12" s="7">
        <f>SUMIFS(entree_sortie[Q],entree_sortie[Opération],"entrée",entree_sortie[Réf],Inventaire[[#This Row],[Référence]])</f>
        <v>4</v>
      </c>
      <c r="H12" s="8">
        <f>SUMIFS(entree_sortie[Q],entree_sortie[Opération],"sortie",entree_sortie[Réf],Inventaire[[#This Row],[Référence]])</f>
        <v>4</v>
      </c>
      <c r="I12" s="7">
        <f>Inventaire[[#This Row],[Stock initial]]+Inventaire[[#This Row],[Entrée]]-Inventaire[[#This Row],[Sortie]]</f>
        <v>18</v>
      </c>
      <c r="J12" s="7" t="str">
        <f>IF(Inventaire[[#This Row],[Stock final]]&gt;Inventaire[[#This Row],[Seuil d''alerte]],"stock disponible","achat stock")</f>
        <v>stock disponible</v>
      </c>
    </row>
    <row r="13" spans="1:10" x14ac:dyDescent="0.25">
      <c r="A13" s="15" t="str">
        <f>Marchandise[[#This Row],[Référence]]</f>
        <v>0004</v>
      </c>
      <c r="B13" s="7" t="str">
        <f>VLOOKUP(Inventaire[[#This Row],[Référence]],Marchandise[],2,0)</f>
        <v>LAPTOP 2</v>
      </c>
      <c r="C13" s="7" t="str">
        <f>VLOOKUP(Inventaire[[#This Row],[Référence]],Marchandise[],3,0)</f>
        <v>Ordinateur</v>
      </c>
      <c r="D13" s="7" t="str">
        <f>VLOOKUP(Inventaire[[#This Row],[Référence]],Marchandise[],4,0)</f>
        <v xml:space="preserve">Pièce </v>
      </c>
      <c r="E13" s="7">
        <f>VLOOKUP(Inventaire[[#This Row],[Référence]],Marchandise[],5,0)</f>
        <v>15</v>
      </c>
      <c r="F13" s="7">
        <f>VLOOKUP(Inventaire[[#This Row],[Référence]],Marchandise[],6,0)</f>
        <v>20</v>
      </c>
      <c r="G13" s="7">
        <f>SUMIFS(entree_sortie[Q],entree_sortie[Opération],"entrée",entree_sortie[Réf],Inventaire[[#This Row],[Référence]])</f>
        <v>8</v>
      </c>
      <c r="H13" s="8">
        <f>SUMIFS(entree_sortie[Q],entree_sortie[Opération],"sortie",entree_sortie[Réf],Inventaire[[#This Row],[Référence]])</f>
        <v>5</v>
      </c>
      <c r="I13" s="7">
        <f>Inventaire[[#This Row],[Stock initial]]+Inventaire[[#This Row],[Entrée]]-Inventaire[[#This Row],[Sortie]]</f>
        <v>23</v>
      </c>
      <c r="J13" s="7" t="str">
        <f>IF(Inventaire[[#This Row],[Stock final]]&gt;Inventaire[[#This Row],[Seuil d''alerte]],"stock disponible","achat stock")</f>
        <v>stock disponible</v>
      </c>
    </row>
    <row r="14" spans="1:10" x14ac:dyDescent="0.25">
      <c r="A14" s="15" t="str">
        <f>Marchandise[[#This Row],[Référence]]</f>
        <v>0005</v>
      </c>
      <c r="B14" s="7" t="str">
        <f>VLOOKUP(Inventaire[[#This Row],[Référence]],Marchandise[],2,0)</f>
        <v>LAPTOP 3</v>
      </c>
      <c r="C14" s="7" t="str">
        <f>VLOOKUP(Inventaire[[#This Row],[Référence]],Marchandise[],3,0)</f>
        <v>Ordinateur</v>
      </c>
      <c r="D14" s="7" t="str">
        <f>VLOOKUP(Inventaire[[#This Row],[Référence]],Marchandise[],4,0)</f>
        <v xml:space="preserve">Pièce </v>
      </c>
      <c r="E14" s="7">
        <f>VLOOKUP(Inventaire[[#This Row],[Référence]],Marchandise[],5,0)</f>
        <v>7</v>
      </c>
      <c r="F14" s="7">
        <f>VLOOKUP(Inventaire[[#This Row],[Référence]],Marchandise[],6,0)</f>
        <v>10</v>
      </c>
      <c r="G14" s="7">
        <f>SUMIFS(entree_sortie[Q],entree_sortie[Opération],"entrée",entree_sortie[Réf],Inventaire[[#This Row],[Référence]])</f>
        <v>2</v>
      </c>
      <c r="H14" s="8">
        <f>SUMIFS(entree_sortie[Q],entree_sortie[Opération],"sortie",entree_sortie[Réf],Inventaire[[#This Row],[Référence]])</f>
        <v>7</v>
      </c>
      <c r="I14" s="7">
        <f>Inventaire[[#This Row],[Stock initial]]+Inventaire[[#This Row],[Entrée]]-Inventaire[[#This Row],[Sortie]]</f>
        <v>5</v>
      </c>
      <c r="J14" s="7" t="str">
        <f>IF(Inventaire[[#This Row],[Stock final]]&gt;Inventaire[[#This Row],[Seuil d''alerte]],"stock disponible","achat stock")</f>
        <v>achat stock</v>
      </c>
    </row>
    <row r="15" spans="1:10" x14ac:dyDescent="0.25">
      <c r="A15" s="15" t="str">
        <f>Marchandise[[#This Row],[Référence]]</f>
        <v>0006</v>
      </c>
      <c r="B15" s="7" t="str">
        <f>VLOOKUP(Inventaire[[#This Row],[Référence]],Marchandise[],2,0)</f>
        <v>Samsung 2</v>
      </c>
      <c r="C15" s="7" t="str">
        <f>VLOOKUP(Inventaire[[#This Row],[Référence]],Marchandise[],3,0)</f>
        <v>Téléphone</v>
      </c>
      <c r="D15" s="7" t="str">
        <f>VLOOKUP(Inventaire[[#This Row],[Référence]],Marchandise[],4,0)</f>
        <v xml:space="preserve">Pièce </v>
      </c>
      <c r="E15" s="7">
        <f>VLOOKUP(Inventaire[[#This Row],[Référence]],Marchandise[],5,0)</f>
        <v>10</v>
      </c>
      <c r="F15" s="7">
        <f>VLOOKUP(Inventaire[[#This Row],[Référence]],Marchandise[],6,0)</f>
        <v>16</v>
      </c>
      <c r="G15" s="7">
        <f>SUMIFS(entree_sortie[Q],entree_sortie[Opération],"entrée",entree_sortie[Réf],Inventaire[[#This Row],[Référence]])</f>
        <v>3</v>
      </c>
      <c r="H15" s="8">
        <f>SUMIFS(entree_sortie[Q],entree_sortie[Opération],"sortie",entree_sortie[Réf],Inventaire[[#This Row],[Référence]])</f>
        <v>3</v>
      </c>
      <c r="I15" s="7">
        <f>Inventaire[[#This Row],[Stock initial]]+Inventaire[[#This Row],[Entrée]]-Inventaire[[#This Row],[Sortie]]</f>
        <v>16</v>
      </c>
      <c r="J15" s="7" t="str">
        <f>IF(Inventaire[[#This Row],[Stock final]]&gt;Inventaire[[#This Row],[Seuil d''alerte]],"stock disponible","achat stock")</f>
        <v>stock disponible</v>
      </c>
    </row>
    <row r="16" spans="1:10" x14ac:dyDescent="0.25">
      <c r="A16" s="15" t="str">
        <f>Marchandise[[#This Row],[Référence]]</f>
        <v>0007</v>
      </c>
      <c r="B16" s="7" t="str">
        <f>VLOOKUP(Inventaire[[#This Row],[Référence]],Marchandise[],2,0)</f>
        <v>Ipad 2</v>
      </c>
      <c r="C16" s="7" t="str">
        <f>VLOOKUP(Inventaire[[#This Row],[Référence]],Marchandise[],3,0)</f>
        <v>Tablette</v>
      </c>
      <c r="D16" s="7" t="str">
        <f>VLOOKUP(Inventaire[[#This Row],[Référence]],Marchandise[],4,0)</f>
        <v xml:space="preserve">Pièce </v>
      </c>
      <c r="E16" s="7">
        <f>VLOOKUP(Inventaire[[#This Row],[Référence]],Marchandise[],5,0)</f>
        <v>12</v>
      </c>
      <c r="F16" s="7">
        <f>VLOOKUP(Inventaire[[#This Row],[Référence]],Marchandise[],6,0)</f>
        <v>25</v>
      </c>
      <c r="G16" s="7">
        <f>SUMIFS(entree_sortie[Q],entree_sortie[Opération],"entrée",entree_sortie[Réf],Inventaire[[#This Row],[Référence]])</f>
        <v>0</v>
      </c>
      <c r="H16" s="8">
        <f>SUMIFS(entree_sortie[Q],entree_sortie[Opération],"sortie",entree_sortie[Réf],Inventaire[[#This Row],[Référence]])</f>
        <v>2</v>
      </c>
      <c r="I16" s="7">
        <f>Inventaire[[#This Row],[Stock initial]]+Inventaire[[#This Row],[Entrée]]-Inventaire[[#This Row],[Sortie]]</f>
        <v>23</v>
      </c>
      <c r="J16" s="7" t="str">
        <f>IF(Inventaire[[#This Row],[Stock final]]&gt;Inventaire[[#This Row],[Seuil d''alerte]],"stock disponible","achat stock")</f>
        <v>stock disponible</v>
      </c>
    </row>
    <row r="17" spans="1:10" x14ac:dyDescent="0.25">
      <c r="A17" s="28" t="str">
        <f>Marchandise[[#This Row],[Référence]]</f>
        <v>0008</v>
      </c>
      <c r="B17" s="9" t="str">
        <f>VLOOKUP(Inventaire[[#This Row],[Référence]],Marchandise[],2,0)</f>
        <v>Samsung 3</v>
      </c>
      <c r="C17" s="9" t="str">
        <f>VLOOKUP(Inventaire[[#This Row],[Référence]],Marchandise[],3,0)</f>
        <v>Téléphone</v>
      </c>
      <c r="D17" s="9" t="str">
        <f>VLOOKUP(Inventaire[[#This Row],[Référence]],Marchandise[],4,0)</f>
        <v xml:space="preserve">Pièce </v>
      </c>
      <c r="E17" s="9">
        <f>VLOOKUP(Inventaire[[#This Row],[Référence]],Marchandise[],5,0)</f>
        <v>20</v>
      </c>
      <c r="F17" s="9">
        <f>VLOOKUP(Inventaire[[#This Row],[Référence]],Marchandise[],6,0)</f>
        <v>10</v>
      </c>
      <c r="G17" s="9">
        <f>SUMIFS(entree_sortie[Q],entree_sortie[Opération],"entrée",entree_sortie[Réf],Inventaire[[#This Row],[Référence]])</f>
        <v>0</v>
      </c>
      <c r="H17" s="10">
        <f>SUMIFS(entree_sortie[Q],entree_sortie[Opération],"sortie",entree_sortie[Réf],Inventaire[[#This Row],[Référence]])</f>
        <v>0</v>
      </c>
      <c r="I17" s="9">
        <f>Inventaire[[#This Row],[Stock initial]]+Inventaire[[#This Row],[Entrée]]-Inventaire[[#This Row],[Sortie]]</f>
        <v>10</v>
      </c>
      <c r="J17" s="9" t="str">
        <f>IF(Inventaire[[#This Row],[Stock final]]&gt;Inventaire[[#This Row],[Seuil d''alerte]],"stock disponible","achat stock")</f>
        <v>achat stock</v>
      </c>
    </row>
    <row r="18" spans="1:10" x14ac:dyDescent="0.25">
      <c r="A18" s="15" t="str">
        <f>Marchandise[[#This Row],[Référence]]</f>
        <v>0009</v>
      </c>
      <c r="B18" s="7" t="str">
        <f>VLOOKUP(Inventaire[[#This Row],[Référence]],Marchandise[],2,0)</f>
        <v>Samsung 4</v>
      </c>
      <c r="C18" s="7" t="str">
        <f>VLOOKUP(Inventaire[[#This Row],[Référence]],Marchandise[],3,0)</f>
        <v>Téléphone</v>
      </c>
      <c r="D18" s="7" t="str">
        <f>VLOOKUP(Inventaire[[#This Row],[Référence]],Marchandise[],4,0)</f>
        <v xml:space="preserve">Pièce </v>
      </c>
      <c r="E18" s="7">
        <f>VLOOKUP(Inventaire[[#This Row],[Référence]],Marchandise[],5,0)</f>
        <v>20</v>
      </c>
      <c r="F18" s="7">
        <f>VLOOKUP(Inventaire[[#This Row],[Référence]],Marchandise[],6,0)</f>
        <v>12</v>
      </c>
      <c r="G18" s="7">
        <f>SUMIFS(entree_sortie[Q],entree_sortie[Opération],"entrée",entree_sortie[Réf],Inventaire[[#This Row],[Référence]])</f>
        <v>0</v>
      </c>
      <c r="H18" s="8">
        <f>SUMIFS(entree_sortie[Q],entree_sortie[Opération],"sortie",entree_sortie[Réf],Inventaire[[#This Row],[Référence]])</f>
        <v>0</v>
      </c>
      <c r="I18" s="7">
        <f>Inventaire[[#This Row],[Stock initial]]+Inventaire[[#This Row],[Entrée]]-Inventaire[[#This Row],[Sortie]]</f>
        <v>12</v>
      </c>
      <c r="J18" s="9" t="str">
        <f>IF(Inventaire[[#This Row],[Stock final]]&gt;Inventaire[[#This Row],[Seuil d''alerte]],"stock disponible","achat stock")</f>
        <v>achat stock</v>
      </c>
    </row>
    <row r="19" spans="1:10" x14ac:dyDescent="0.25">
      <c r="A19" s="15" t="str">
        <f>Marchandise[[#This Row],[Référence]]</f>
        <v>0010</v>
      </c>
      <c r="B19" s="7" t="str">
        <f>VLOOKUP(Inventaire[[#This Row],[Référence]],Marchandise[],2,0)</f>
        <v>Samsung 5</v>
      </c>
      <c r="C19" s="7" t="str">
        <f>VLOOKUP(Inventaire[[#This Row],[Référence]],Marchandise[],3,0)</f>
        <v>Téléphone</v>
      </c>
      <c r="D19" s="7" t="str">
        <f>VLOOKUP(Inventaire[[#This Row],[Référence]],Marchandise[],4,0)</f>
        <v xml:space="preserve">Pièce </v>
      </c>
      <c r="E19" s="7">
        <f>VLOOKUP(Inventaire[[#This Row],[Référence]],Marchandise[],5,0)</f>
        <v>20</v>
      </c>
      <c r="F19" s="7">
        <f>VLOOKUP(Inventaire[[#This Row],[Référence]],Marchandise[],6,0)</f>
        <v>14</v>
      </c>
      <c r="G19" s="7">
        <f>SUMIFS(entree_sortie[Q],entree_sortie[Opération],"entrée",entree_sortie[Réf],Inventaire[[#This Row],[Référence]])</f>
        <v>0</v>
      </c>
      <c r="H19" s="8">
        <f>SUMIFS(entree_sortie[Q],entree_sortie[Opération],"sortie",entree_sortie[Réf],Inventaire[[#This Row],[Référence]])</f>
        <v>0</v>
      </c>
      <c r="I19" s="7">
        <f>Inventaire[[#This Row],[Stock initial]]+Inventaire[[#This Row],[Entrée]]-Inventaire[[#This Row],[Sortie]]</f>
        <v>14</v>
      </c>
      <c r="J19" s="9" t="str">
        <f>IF(Inventaire[[#This Row],[Stock final]]&gt;Inventaire[[#This Row],[Seuil d''alerte]],"stock disponible","achat stock")</f>
        <v>achat stock</v>
      </c>
    </row>
    <row r="20" spans="1:10" x14ac:dyDescent="0.25">
      <c r="A20" s="15" t="str">
        <f>Marchandise[[#This Row],[Référence]]</f>
        <v>0011</v>
      </c>
      <c r="B20" s="7" t="str">
        <f>VLOOKUP(Inventaire[[#This Row],[Référence]],Marchandise[],2,0)</f>
        <v>Samsung 6</v>
      </c>
      <c r="C20" s="7" t="str">
        <f>VLOOKUP(Inventaire[[#This Row],[Référence]],Marchandise[],3,0)</f>
        <v>Téléphone</v>
      </c>
      <c r="D20" s="7" t="str">
        <f>VLOOKUP(Inventaire[[#This Row],[Référence]],Marchandise[],4,0)</f>
        <v xml:space="preserve">Pièce </v>
      </c>
      <c r="E20" s="7">
        <f>VLOOKUP(Inventaire[[#This Row],[Référence]],Marchandise[],5,0)</f>
        <v>20</v>
      </c>
      <c r="F20" s="7">
        <f>VLOOKUP(Inventaire[[#This Row],[Référence]],Marchandise[],6,0)</f>
        <v>14</v>
      </c>
      <c r="G20" s="7">
        <f>SUMIFS(entree_sortie[Q],entree_sortie[Opération],"entrée",entree_sortie[Réf],Inventaire[[#This Row],[Référence]])</f>
        <v>0</v>
      </c>
      <c r="H20" s="8">
        <f>SUMIFS(entree_sortie[Q],entree_sortie[Opération],"sortie",entree_sortie[Réf],Inventaire[[#This Row],[Référence]])</f>
        <v>0</v>
      </c>
      <c r="I20" s="7">
        <f>Inventaire[[#This Row],[Stock initial]]+Inventaire[[#This Row],[Entrée]]-Inventaire[[#This Row],[Sortie]]</f>
        <v>14</v>
      </c>
      <c r="J20" s="9" t="str">
        <f>IF(Inventaire[[#This Row],[Stock final]]&gt;Inventaire[[#This Row],[Seuil d''alerte]],"stock disponible","achat stock")</f>
        <v>achat stock</v>
      </c>
    </row>
    <row r="21" spans="1:10" x14ac:dyDescent="0.25">
      <c r="A21" s="15" t="str">
        <f>Marchandise[[#This Row],[Référence]]</f>
        <v>0012</v>
      </c>
      <c r="B21" s="7" t="str">
        <f>VLOOKUP(Inventaire[[#This Row],[Référence]],Marchandise[],2,0)</f>
        <v>Samsung 7</v>
      </c>
      <c r="C21" s="7" t="str">
        <f>VLOOKUP(Inventaire[[#This Row],[Référence]],Marchandise[],3,0)</f>
        <v>Téléphone</v>
      </c>
      <c r="D21" s="7" t="str">
        <f>VLOOKUP(Inventaire[[#This Row],[Référence]],Marchandise[],4,0)</f>
        <v xml:space="preserve">Pièce </v>
      </c>
      <c r="E21" s="7">
        <f>VLOOKUP(Inventaire[[#This Row],[Référence]],Marchandise[],5,0)</f>
        <v>20</v>
      </c>
      <c r="F21" s="7">
        <f>VLOOKUP(Inventaire[[#This Row],[Référence]],Marchandise[],6,0)</f>
        <v>15</v>
      </c>
      <c r="G21" s="7">
        <f>SUMIFS(entree_sortie[Q],entree_sortie[Opération],"entrée",entree_sortie[Réf],Inventaire[[#This Row],[Référence]])</f>
        <v>0</v>
      </c>
      <c r="H21" s="8">
        <f>SUMIFS(entree_sortie[Q],entree_sortie[Opération],"sortie",entree_sortie[Réf],Inventaire[[#This Row],[Référence]])</f>
        <v>0</v>
      </c>
      <c r="I21" s="7">
        <f>Inventaire[[#This Row],[Stock initial]]+Inventaire[[#This Row],[Entrée]]-Inventaire[[#This Row],[Sortie]]</f>
        <v>15</v>
      </c>
      <c r="J21" s="9" t="str">
        <f>IF(Inventaire[[#This Row],[Stock final]]&gt;Inventaire[[#This Row],[Seuil d''alerte]],"stock disponible","achat stock")</f>
        <v>achat stock</v>
      </c>
    </row>
    <row r="22" spans="1:10" x14ac:dyDescent="0.25">
      <c r="A22" s="15" t="str">
        <f>Marchandise[[#This Row],[Référence]]</f>
        <v>0013</v>
      </c>
      <c r="B22" s="7" t="str">
        <f>VLOOKUP(Inventaire[[#This Row],[Référence]],Marchandise[],2,0)</f>
        <v>Samsung 8</v>
      </c>
      <c r="C22" s="7" t="str">
        <f>VLOOKUP(Inventaire[[#This Row],[Référence]],Marchandise[],3,0)</f>
        <v>Téléphone</v>
      </c>
      <c r="D22" s="7" t="str">
        <f>VLOOKUP(Inventaire[[#This Row],[Référence]],Marchandise[],4,0)</f>
        <v xml:space="preserve">Pièce </v>
      </c>
      <c r="E22" s="7">
        <f>VLOOKUP(Inventaire[[#This Row],[Référence]],Marchandise[],5,0)</f>
        <v>20</v>
      </c>
      <c r="F22" s="7">
        <f>VLOOKUP(Inventaire[[#This Row],[Référence]],Marchandise[],6,0)</f>
        <v>11</v>
      </c>
      <c r="G22" s="7">
        <f>SUMIFS(entree_sortie[Q],entree_sortie[Opération],"entrée",entree_sortie[Réf],Inventaire[[#This Row],[Référence]])</f>
        <v>0</v>
      </c>
      <c r="H22" s="8">
        <f>SUMIFS(entree_sortie[Q],entree_sortie[Opération],"sortie",entree_sortie[Réf],Inventaire[[#This Row],[Référence]])</f>
        <v>0</v>
      </c>
      <c r="I22" s="7">
        <f>Inventaire[[#This Row],[Stock initial]]+Inventaire[[#This Row],[Entrée]]-Inventaire[[#This Row],[Sortie]]</f>
        <v>11</v>
      </c>
      <c r="J22" s="9" t="str">
        <f>IF(Inventaire[[#This Row],[Stock final]]&gt;Inventaire[[#This Row],[Seuil d''alerte]],"stock disponible","achat stock")</f>
        <v>achat stock</v>
      </c>
    </row>
  </sheetData>
  <mergeCells count="1">
    <mergeCell ref="A1:J2"/>
  </mergeCells>
  <conditionalFormatting sqref="A10:J22">
    <cfRule type="expression" dxfId="1" priority="1">
      <formula>$J10="achat stock"</formula>
    </cfRule>
    <cfRule type="expression" dxfId="0" priority="2">
      <formula>$J10="stock disponible"</formula>
    </cfRule>
  </conditionalFormatting>
  <pageMargins left="0.7" right="0.7" top="0.75" bottom="0.75" header="0.3" footer="0.3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Entree sortie</vt:lpstr>
      <vt:lpstr>Marchandise</vt:lpstr>
      <vt:lpstr>Inventaire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samy baba</cp:lastModifiedBy>
  <dcterms:created xsi:type="dcterms:W3CDTF">2015-06-05T18:17:20Z</dcterms:created>
  <dcterms:modified xsi:type="dcterms:W3CDTF">2025-09-13T11:43:38Z</dcterms:modified>
</cp:coreProperties>
</file>